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leuler\Desktop\Hilkes\"/>
    </mc:Choice>
  </mc:AlternateContent>
  <xr:revisionPtr revIDLastSave="0" documentId="13_ncr:1_{E4012D79-0510-4596-91B2-F7D62030A2FD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CONTROLE DE CONTRATOS" sheetId="1" r:id="rId1"/>
    <sheet name="CONTROLE DOC DAS PASTAS" sheetId="2" state="hidden" r:id="rId2"/>
  </sheets>
  <definedNames>
    <definedName name="_xlnm._FilterDatabase" localSheetId="1" hidden="1">'CONTROLE DOC DAS PASTAS'!$A$2:$E$126</definedName>
  </definedNames>
  <calcPr calcId="191029"/>
</workbook>
</file>

<file path=xl/calcChain.xml><?xml version="1.0" encoding="utf-8"?>
<calcChain xmlns="http://schemas.openxmlformats.org/spreadsheetml/2006/main">
  <c r="Y81" i="1" l="1"/>
  <c r="Z80" i="1"/>
  <c r="Z79" i="1"/>
  <c r="Z78" i="1"/>
  <c r="Z77" i="1"/>
  <c r="Z76" i="1"/>
  <c r="Z75" i="1"/>
  <c r="Z74" i="1"/>
  <c r="Z73" i="1"/>
  <c r="Z72" i="1"/>
  <c r="Z59" i="1"/>
  <c r="Z58" i="1"/>
  <c r="Z56" i="1"/>
  <c r="Z55" i="1"/>
  <c r="Z49" i="1"/>
  <c r="Z48" i="1"/>
  <c r="Z45" i="1"/>
  <c r="Z35" i="1"/>
  <c r="Z34" i="1"/>
  <c r="Z33" i="1"/>
  <c r="Z32" i="1"/>
  <c r="AC21" i="1"/>
  <c r="Z21" i="1"/>
  <c r="Y20" i="1"/>
  <c r="Z20" i="1" s="1"/>
  <c r="Z19" i="1"/>
  <c r="AC5" i="1"/>
  <c r="Z5" i="1"/>
  <c r="Y4" i="1"/>
  <c r="AC4" i="1" s="1"/>
  <c r="Z3" i="1"/>
  <c r="AA3" i="1" s="1"/>
  <c r="AC3" i="1" s="1"/>
  <c r="Z2" i="1"/>
  <c r="Z4" i="1" l="1"/>
</calcChain>
</file>

<file path=xl/sharedStrings.xml><?xml version="1.0" encoding="utf-8"?>
<sst xmlns="http://schemas.openxmlformats.org/spreadsheetml/2006/main" count="3871" uniqueCount="1081">
  <si>
    <t xml:space="preserve">INFORMAÇÕES DAS CONTRATAÇÕES </t>
  </si>
  <si>
    <t>NOME DA EMPRESA</t>
  </si>
  <si>
    <t>ORDEM</t>
  </si>
  <si>
    <t>PROCESSO</t>
  </si>
  <si>
    <t>NUMERO DO CONTRATO/ATA/EMPENHO</t>
  </si>
  <si>
    <t>CONTRATADA</t>
  </si>
  <si>
    <t>RESPONSÁVEL CONTRATADA</t>
  </si>
  <si>
    <t>TELEFONE</t>
  </si>
  <si>
    <t>EMAIL</t>
  </si>
  <si>
    <t>OBJETO CONTRATO</t>
  </si>
  <si>
    <t>CNPJ</t>
  </si>
  <si>
    <t>MODALIDADE/EXCEÇÃO/PROCEDIMENTO ADM ESPECÍFICO</t>
  </si>
  <si>
    <t xml:space="preserve">NÚMERO  </t>
  </si>
  <si>
    <t>SISTEMA DE REGISTRO DE PRECO</t>
  </si>
  <si>
    <t>VALOR GLOBAL ATA DE REGISTRO DE PREÇO</t>
  </si>
  <si>
    <t>GERENCIADOR ATA</t>
  </si>
  <si>
    <t>CONTRATOS EMPRESAS-SRP</t>
  </si>
  <si>
    <t>SECRETARIA RESPONSÁVEL</t>
  </si>
  <si>
    <t>MES DE VENCIMENTO</t>
  </si>
  <si>
    <t>VIGÊNCIA CONTRATO</t>
  </si>
  <si>
    <t>SITUAÇÃO ATUAL</t>
  </si>
  <si>
    <t>VIGÊNCIA ATA DE REGISTRO DE PREÇO</t>
  </si>
  <si>
    <t>VALOR GLOBAL CHAMAMENTO PÚBLICO</t>
  </si>
  <si>
    <t>VALOR GLOBAL POR EMPRESA SEM OU COM SRP OU CAE OU CHA PUB</t>
  </si>
  <si>
    <t>VALOR MENSAL COM OU SEM SRP OU CAE OU CH PUB</t>
  </si>
  <si>
    <t>EXECUÇÃO CONTRATOS (VALORES TOTAIS PAGOS)</t>
  </si>
  <si>
    <t>MESES PAGOS</t>
  </si>
  <si>
    <t>SALDO CONTRATO OU SRP OU CAE</t>
  </si>
  <si>
    <t>TERMO ADITIVO (DATA)</t>
  </si>
  <si>
    <t>REPACTUAÇÃO APOSTILAMENTO (DATA)</t>
  </si>
  <si>
    <t>GESTOR/COGESTOR/FISCAL</t>
  </si>
  <si>
    <t>PORTARIA FISCAL</t>
  </si>
  <si>
    <t>PORTARIA COGESTOR</t>
  </si>
  <si>
    <t>UNIDADE</t>
  </si>
  <si>
    <t>FUNCAO</t>
  </si>
  <si>
    <t>SUB-FUNCAO</t>
  </si>
  <si>
    <t>PROGRAMA</t>
  </si>
  <si>
    <t>PROJETO/ATIVIDADE</t>
  </si>
  <si>
    <t>ELEMENTO</t>
  </si>
  <si>
    <t>FONTE</t>
  </si>
  <si>
    <t>MODALIDADE</t>
  </si>
  <si>
    <t>SUB-ELEMENTO</t>
  </si>
  <si>
    <t>VINCULO</t>
  </si>
  <si>
    <t>PROGRAMAÇÃO PAGAMENTO PMB (DATAS: 10, 20 OU 30)</t>
  </si>
  <si>
    <t>DATA SOLICITAÇÃO PGTO FORN</t>
  </si>
  <si>
    <t>NOTA DE EMPENHO</t>
  </si>
  <si>
    <t>AUTORIZAÇÃO DE FORNECIMENTO</t>
  </si>
  <si>
    <t>NOTA DE LIQUIDAÇÃO</t>
  </si>
  <si>
    <t>RETENÇÕES (VALOR)</t>
  </si>
  <si>
    <t>NOTA ORDEM PAGAMENTO</t>
  </si>
  <si>
    <t>VALOR PAGAMENTO</t>
  </si>
  <si>
    <t>BANCO</t>
  </si>
  <si>
    <t>CONTA OPERAÇÃO/PIX</t>
  </si>
  <si>
    <t>TED/PIX</t>
  </si>
  <si>
    <t>DATA PAGAMENTO FINANCEIRO</t>
  </si>
  <si>
    <t>CONTA PREF SAIDA (AG E CONTA)</t>
  </si>
  <si>
    <t>FONTE DE RECURSOS</t>
  </si>
  <si>
    <t>M. N. LEITE – ME</t>
  </si>
  <si>
    <t>FIXO</t>
  </si>
  <si>
    <t>005/2025</t>
  </si>
  <si>
    <t>CONTRATO ADMINISTRATIVO 005/2025</t>
  </si>
  <si>
    <t>MARCIO NERI LEITE</t>
  </si>
  <si>
    <t>MARCIO NERY</t>
  </si>
  <si>
    <t>(19) 98422-2681</t>
  </si>
  <si>
    <t>mneri2003@hotmail.com</t>
  </si>
  <si>
    <t>CONTRATAÇÃO DE EMPRESA ESPECIALIZADA NA PRESTAÇÃO DE SERVIÇOS TÉCNICOS PARA PLANEJAMENTO, ESTRATÉGIAS, ELABORAÇÃO DE PROJETOS, CAPTAÇÃO DE RECURSOS, EXECUÇÃO E PRESTAÇÃO DE CONTAS, EM TODAS AS PLATAFORMAS ONLINE DO GOVERNO FEDERAL, COM FOCO EM RECURSOS ORIUNDOS DE EMENDAS PARLAMENTARES, EXTRAEMENDAS, EDITAIS, LEIS DE INCENTIVO E PARCERIAS PÚBLICO-PRIVADAS</t>
  </si>
  <si>
    <t>32.296.780/0001-55</t>
  </si>
  <si>
    <t>INEXIBILIDADE</t>
  </si>
  <si>
    <t>001/2025</t>
  </si>
  <si>
    <t>SEM SRP</t>
  </si>
  <si>
    <t>X</t>
  </si>
  <si>
    <t>SEMAP</t>
  </si>
  <si>
    <t>*JANEIRO/2026</t>
  </si>
  <si>
    <t>27/01/2025 A 27/01/2026</t>
  </si>
  <si>
    <t>VIGENTE</t>
  </si>
  <si>
    <t>FEVEREIRO A SETEMBRO</t>
  </si>
  <si>
    <t>NAO</t>
  </si>
  <si>
    <t>TAILA/LUCAS</t>
  </si>
  <si>
    <t>NUMERO TAL E DATA</t>
  </si>
  <si>
    <t>FUNDOS MUNICIPAIS 030201</t>
  </si>
  <si>
    <t>12-EDUCACAO</t>
  </si>
  <si>
    <t>365-QUALILDE ENSINO INFANTIL</t>
  </si>
  <si>
    <t>1000-QUALIDADE ENSINO INFANTIL</t>
  </si>
  <si>
    <t>2055-MANT. EDUC INF-FUNDEB VAAT-15%</t>
  </si>
  <si>
    <t>52-EQUIP E MAT PERMANENTE</t>
  </si>
  <si>
    <t>0000- NAO SE APLICA</t>
  </si>
  <si>
    <t>90-APLICACOES DIRETAS</t>
  </si>
  <si>
    <t>4.490.52.42 M</t>
  </si>
  <si>
    <t>260 FUNDEB</t>
  </si>
  <si>
    <t>30/02/2025</t>
  </si>
  <si>
    <t>NUMERO 121212/2025</t>
  </si>
  <si>
    <t>025/2025 E A DATA 20/01/2025</t>
  </si>
  <si>
    <t>050/2025 E A DATA 03/03/2025</t>
  </si>
  <si>
    <t>070/2025 12/04/2025</t>
  </si>
  <si>
    <t>BRASIL</t>
  </si>
  <si>
    <t>CONTA 000-33 AG 00-2</t>
  </si>
  <si>
    <t>001.123.1222-30</t>
  </si>
  <si>
    <t>AG TAL E CONTA TAL</t>
  </si>
  <si>
    <t>FUNDO MUNICIPAL SAUDE</t>
  </si>
  <si>
    <t>VECTORE CONSULTORIA E GESTÃO PUBLICA MUNICIPAL</t>
  </si>
  <si>
    <t>006/2025</t>
  </si>
  <si>
    <t>CONTRATO ADMINISTRATIVO /2025</t>
  </si>
  <si>
    <t>JOSE CARLOS</t>
  </si>
  <si>
    <t>(92) 99381-2627</t>
  </si>
  <si>
    <t>VER</t>
  </si>
  <si>
    <t>CONTRATAÇÃO DE EMPRESA ESPECIALIZADA EM GESTÃO PÚBLICA PARA PRESTAR SERVIÇOS DE CONSULTORIA TÉCNICA NA ORIENTAÇÃO PREVENTIVA E CONSULTIVA.</t>
  </si>
  <si>
    <t>09.179.542/0001-48</t>
  </si>
  <si>
    <t>002/2025</t>
  </si>
  <si>
    <t>AM MOURA -ME</t>
  </si>
  <si>
    <t>0006/2025</t>
  </si>
  <si>
    <t>TONY</t>
  </si>
  <si>
    <t>(92) 99462-4967</t>
  </si>
  <si>
    <t>Contratação de empresa especializada em ASSESSORIA E CONSULTORIA PARA IMPLEMENTAÇÃO DO PLANEJAMENTO ESTRATÉGICO DE ACORDO COM A LEI 14.133/2021, na forma do procedimento de inexigibilidade de Licitação, de acordo com o Art. 74 IlI, alínea "c" da Lei Federal nº 14.133/2021, conforme detalhamento constante no Projeto Básico Anexo.</t>
  </si>
  <si>
    <t>33.680.022/0001-07</t>
  </si>
  <si>
    <t>*JANEIRO/2022</t>
  </si>
  <si>
    <t>27/06/2025 A 27/01/2026</t>
  </si>
  <si>
    <t>27/07/2025 a 27/01/2026</t>
  </si>
  <si>
    <t xml:space="preserve">CG INSTITUTO COMPLIANCE LTDA  </t>
  </si>
  <si>
    <t>021/2025</t>
  </si>
  <si>
    <t>CONTRATO ADMINISTRATIVO 021/2025</t>
  </si>
  <si>
    <t>DANIEL GERHARD</t>
  </si>
  <si>
    <t>(92) 98170-6882</t>
  </si>
  <si>
    <t>Prestação de serviços de Empresas Especializa Em Assessoria E Treinamento Para Desenvolvimento De Governança Pública</t>
  </si>
  <si>
    <t>48.732.302/0001-80</t>
  </si>
  <si>
    <t>007/2025</t>
  </si>
  <si>
    <t>*FEVEREIRO/2026</t>
  </si>
  <si>
    <t>14/02/2025 A 13/02/2026</t>
  </si>
  <si>
    <t>MARCO A SETEMBRO</t>
  </si>
  <si>
    <t>C. N. NEVES</t>
  </si>
  <si>
    <t>023/2025</t>
  </si>
  <si>
    <t>CONTRATO ADMINISTRATIVO 023-A/2025</t>
  </si>
  <si>
    <t>CAROLINE NEVES</t>
  </si>
  <si>
    <t>REGISTRO DE PREÇOS PARA EVENTUAL AQUISIÇÃO DE GÊNEROS ALIMENTÍCIOS DESTINADOS À ALIMENTAÇÃO ESCOLAR DA REDE MUNICIPAL DE ENSINO DE BORBA. SRP 001/2025</t>
  </si>
  <si>
    <t>53.498.310/0001-44</t>
  </si>
  <si>
    <t>PREGÃO ELETRÔNICO</t>
  </si>
  <si>
    <t>R$ 2.037.589,46</t>
  </si>
  <si>
    <t>SRP 001 – C. N. NEVES</t>
  </si>
  <si>
    <t>SEMED</t>
  </si>
  <si>
    <t>*ABRIL/2026</t>
  </si>
  <si>
    <t>08/04/2025 A 08/04/2026</t>
  </si>
  <si>
    <t>VER DATA</t>
  </si>
  <si>
    <t>R$ 719.042,70</t>
  </si>
  <si>
    <t>R$ 59.920,23</t>
  </si>
  <si>
    <t>VERIFICAR</t>
  </si>
  <si>
    <t>VER COM SEC EDUCAÇÃO</t>
  </si>
  <si>
    <t>LB CENTAURO</t>
  </si>
  <si>
    <t>CONTRATO ADMINISTRATIVO 023-B/2025</t>
  </si>
  <si>
    <t>LAELSON BARBOSA CENTAURO</t>
  </si>
  <si>
    <t>(92) 99290-4646</t>
  </si>
  <si>
    <t>45.688.555/0001-06</t>
  </si>
  <si>
    <t>SRP 001- L. B. CENTAURO LTDA</t>
  </si>
  <si>
    <t>R$ 1.255.271,00</t>
  </si>
  <si>
    <t>R$ 104.605,92</t>
  </si>
  <si>
    <t>R$ 1.020.462,26</t>
  </si>
  <si>
    <t>MAIO A SETEMBRO</t>
  </si>
  <si>
    <t>R$ 234.808,74</t>
  </si>
  <si>
    <t>ANTÔNIO DE LIMA ME</t>
  </si>
  <si>
    <t>CONTRATO ADMINISTRATIVO 023-C/2025</t>
  </si>
  <si>
    <t>ANTÔNIO DE LIMA</t>
  </si>
  <si>
    <t>REGISTRO  DE  PREÇOS  PARA  EVENTUAL  AQUISIÇÃO  DE GÊNEROS  ALIMENTÍCIOS  DESTINADOS  À  ALIMENTAÇÃO ESCOLAR  DA  REDE  MUNICIPAL  DE  ENSINO  DE  BORBA.   SRP 001/2025</t>
  </si>
  <si>
    <t>34.580.837/0001-79</t>
  </si>
  <si>
    <t>R$ 2.037.589,46</t>
  </si>
  <si>
    <t>SRP 001- ANTÔNIO DE LIMA ME</t>
  </si>
  <si>
    <t>R$ 63.275,76</t>
  </si>
  <si>
    <t>R$ 5.272,98</t>
  </si>
  <si>
    <t>024/2025</t>
  </si>
  <si>
    <t>CONTRATO ADMINISTRATIVO 024-A/2025</t>
  </si>
  <si>
    <t>REGISTRO DE PREÇO PARA EVENTUIAL AQUISIÇÃO DE MATERIAL DE EXPEDIENTE E ESCRITÓRIO PARA ATENDER AS NECESSIDADES ADMINISTRAÇÃO PÚBLICA DO MUNICÍPIO DE BORBA/AM SRP 002/2025</t>
  </si>
  <si>
    <t>R$ 2.008.808,75</t>
  </si>
  <si>
    <t>SRP 002 – C. N. NEVES</t>
  </si>
  <si>
    <t>SAÚDE</t>
  </si>
  <si>
    <t>R$ 1.392.393,41</t>
  </si>
  <si>
    <t>R$ 116.032,78</t>
  </si>
  <si>
    <t>VER COM SEMAP</t>
  </si>
  <si>
    <t>DIGITAL CENTER COMÉRCIO VAREJISTA DE MERCADORIAS LTDA</t>
  </si>
  <si>
    <t>CONTRATO ADMINISTRATIVO 024-B/2025</t>
  </si>
  <si>
    <t>OSEIAS</t>
  </si>
  <si>
    <t>(92) 99315-8970</t>
  </si>
  <si>
    <t>17.497.861/0001-20</t>
  </si>
  <si>
    <t>R$ 2.008.808,75</t>
  </si>
  <si>
    <t>SRP 002- DIGITAL CENTER COMERCIO VAREJISTA DE MERCADORIAS LTDA</t>
  </si>
  <si>
    <t>R$ 189.415,34</t>
  </si>
  <si>
    <t>R$ 15.784,61</t>
  </si>
  <si>
    <t>R$ 123.058,27</t>
  </si>
  <si>
    <t>MARCO A AGOSTO</t>
  </si>
  <si>
    <t>R$ 66.357,07</t>
  </si>
  <si>
    <t>RP</t>
  </si>
  <si>
    <t>WANDERLEY REIS LOPES – ME</t>
  </si>
  <si>
    <t>CONTRATO ADMINISTRATIVO 024-C/2025</t>
  </si>
  <si>
    <t>WANDERLEY</t>
  </si>
  <si>
    <t>14.371.031/0001-63</t>
  </si>
  <si>
    <t>SRP 002- WANDERLEY REIS LOPES</t>
  </si>
  <si>
    <t>R$ 27.000,00</t>
  </si>
  <si>
    <t>R$ 2.250,00</t>
  </si>
  <si>
    <t>CONTRATO ADMINISTRATIVO 024-D/2025</t>
  </si>
  <si>
    <t>SRP 002- ANTÔNIO DE LIMA ME</t>
  </si>
  <si>
    <t>R$ 400.000,00</t>
  </si>
  <si>
    <t>R$ 33.333,33</t>
  </si>
  <si>
    <t>R$ 97.160,00</t>
  </si>
  <si>
    <t>AGOSTO</t>
  </si>
  <si>
    <t>R$ 302.840,00</t>
  </si>
  <si>
    <t>025/2025</t>
  </si>
  <si>
    <t>CONTRATO ADMINISTRATIVO 025-A/2025</t>
  </si>
  <si>
    <t>REGISTRO DE PREÇO PARA EVENTUIAL AQUISIÇÃO DE MATERIAL DE  DE LIMPEZA PARA ATENDER AS NECESSIDADES ADMINISTRAÇÃO PÚBLICA DO MUNICÍPIO DE BORBA/AM SRP 003/2025</t>
  </si>
  <si>
    <t>003/2025</t>
  </si>
  <si>
    <t>R$ 3.415.194,24</t>
  </si>
  <si>
    <t>SRP 003 – C. N. NEVES</t>
  </si>
  <si>
    <t>R$ 470.952,50</t>
  </si>
  <si>
    <t>R$ 39.246,04</t>
  </si>
  <si>
    <t>R$ 237.709,55</t>
  </si>
  <si>
    <t>R$ 233.242,95</t>
  </si>
  <si>
    <t>R.A.A FERREIRA LTDA</t>
  </si>
  <si>
    <t>CONTRATO ADMINISTRATIVO 025-B/2025</t>
  </si>
  <si>
    <t>R.A.A. FERREIRA LTDA</t>
  </si>
  <si>
    <t>RISALVA ACACIA AGUIAR FERREIRA</t>
  </si>
  <si>
    <t>03.619.760/0001-70</t>
  </si>
  <si>
    <t>SRP 003- R.A.A. FERREIRA LTDA</t>
  </si>
  <si>
    <t>R$ 565.862,49</t>
  </si>
  <si>
    <t>R$ 47.155,21</t>
  </si>
  <si>
    <t>CONTRATO ADMINISTRATIVO 025-C/2025</t>
  </si>
  <si>
    <t>SRP 003- ANTÔNIO DE LIMA ME</t>
  </si>
  <si>
    <t>R$ 612.330,75</t>
  </si>
  <si>
    <t>R$ 51.027,56</t>
  </si>
  <si>
    <t>ELIEL DE LIMA PINHEIRO LTDA</t>
  </si>
  <si>
    <t>CONTRATO ADMINISTRATIVO 025-D2025</t>
  </si>
  <si>
    <t>ELIEL DE LIMA</t>
  </si>
  <si>
    <t>(92) 98423-2108</t>
  </si>
  <si>
    <t>36.714.705/001-18</t>
  </si>
  <si>
    <t>SRP 003 – ELIEL DE LIMA PINHEIRO LTDA</t>
  </si>
  <si>
    <t>R$ 813.594,00</t>
  </si>
  <si>
    <t>R$ 67.799,50</t>
  </si>
  <si>
    <t>CONTRATO ADMINISTRATIVO 025-E/2025</t>
  </si>
  <si>
    <t>SRP 003- L. B. CENTAURO LTDA</t>
  </si>
  <si>
    <t>R$ 710.354,50</t>
  </si>
  <si>
    <t>R$ 59.196,21</t>
  </si>
  <si>
    <t>R$ 730.957,19</t>
  </si>
  <si>
    <t>MARCO E ABRIL</t>
  </si>
  <si>
    <t>-R$ 20.602,69</t>
  </si>
  <si>
    <t>ANA CLAUDIA MOUTINHO PEREIRA</t>
  </si>
  <si>
    <t>CONTRATO ADMINISTRATIVO 025-F2025</t>
  </si>
  <si>
    <t>26.777.040/0001-38</t>
  </si>
  <si>
    <t>SRP 003 – ANA CLAUDIA MOUTINHO PEREIRA</t>
  </si>
  <si>
    <t>R$ 242.100,00</t>
  </si>
  <si>
    <t>R$ 20.175,00</t>
  </si>
  <si>
    <t>027/2025</t>
  </si>
  <si>
    <t>CONTRATO ADMINISTRATIVO 027/2025</t>
  </si>
  <si>
    <t>CONTRATAÇÃO DE EMPRESA ESPECIALIZADA PARA FORNECIMENTO DE ÁGUA MINERAL PARA ATENDER AS NECESSIDADES  ADMINISTRAÇÃO PÚBLICA DO MUNICÍPIO DE BORBA/AM</t>
  </si>
  <si>
    <t>DISPENSA DE LICITAÇÃO</t>
  </si>
  <si>
    <t>012/2025</t>
  </si>
  <si>
    <t>19/02/2025 A 19/02/2026</t>
  </si>
  <si>
    <t>GT NAVEGAÇÃO LTDA</t>
  </si>
  <si>
    <t>029/2025</t>
  </si>
  <si>
    <t>CONTRATO ADMINISTRATIVO 029/2025</t>
  </si>
  <si>
    <t>ICARO ELIEL DOS SANTOS</t>
  </si>
  <si>
    <r>
      <rPr>
        <sz val="11"/>
        <color rgb="FF000000"/>
        <rFont val="Inconsolata"/>
      </rPr>
      <t xml:space="preserve">REGISTRO DE PREÇOS PARA CONTRATAÇÃO DE PESSOA JURÍDICA ESPECIALIZADA NA PRESTAÇÃO DE SERVIÇOS DE TRANSPORTE ESCOLAR, COM FORNECIMENTO DE VEÍCULO, CONDUTOR, MANUTENÇÃO, SEGURO E COMBUSTÍVEL INCLUSOS, CONFORME AS ROTAS E DEMAIS ESPECIFICAÇÕES CONSTANTES NO TERMO DE REFERÊNCIA, PARA ATENDER ÀS NECESSIDADES DOS ALUNOS REGULARMENTE MATRICULADOS NA REDE PÚBLICA DE ENSINO DO MUNICÍPIO DE BORBA/AM. </t>
    </r>
    <r>
      <rPr>
        <b/>
        <sz val="11"/>
        <color rgb="FF000000"/>
        <rFont val="Inconsolata"/>
      </rPr>
      <t>SRP 005/2025</t>
    </r>
  </si>
  <si>
    <t>44.867.354/0001/03</t>
  </si>
  <si>
    <t>SRP 005 GT NAVEGAÇÃO LTDA</t>
  </si>
  <si>
    <t>*JULHO/2026</t>
  </si>
  <si>
    <t>21/07/2025 A 21/07/2026</t>
  </si>
  <si>
    <t>15/07/2025 A 15/07/2025</t>
  </si>
  <si>
    <t>VER COM SEMED</t>
  </si>
  <si>
    <t xml:space="preserve">SASI COMUNICAÇÃO AGIL LTDA </t>
  </si>
  <si>
    <t>030/2025</t>
  </si>
  <si>
    <t>CONTRATO ADMINISTRATIVO 030/2025</t>
  </si>
  <si>
    <t>SASI COMUNICAÇÃO AGIL LTDA</t>
  </si>
  <si>
    <t xml:space="preserve">JENIFFER </t>
  </si>
  <si>
    <t>(92) 98528-7702</t>
  </si>
  <si>
    <t>CONTRATAÇÃO DE PESSOA JURÍDICA DE DIREITO PRIVADO ESPECIALIZADA NA DISPONIBILIZAÇÃO DE SISTEMAS E APLICATIVOS MÓVEIS CUSTOMIZÁVEIS DIRECIONADOS À GESTÃO PÚBLICA, QUE PROPORCIONEM SOLUÇÃO EM GOVERNANÇA DA COMUNICAÇÃO, PARA ATENDER AS NECESSIDADES DO MUNICÍPIO DE BORBA/AM. SRP 006/2025</t>
  </si>
  <si>
    <t>35.379.670/0001-45</t>
  </si>
  <si>
    <t>SRP 006 -SASI COMUNICAÇÃO AGIL LTDA</t>
  </si>
  <si>
    <t>24/07/2025 A 24/07/2026</t>
  </si>
  <si>
    <t>NENHUM</t>
  </si>
  <si>
    <t>JOAO PAULO GUEDES SARAIV A LTDA</t>
  </si>
  <si>
    <t>031/2025</t>
  </si>
  <si>
    <t>CONTRATO ADMINISTRATIVO 101/2025</t>
  </si>
  <si>
    <t>CONTRATAÇÃO DE EMPRESA PARA FORNECIMENTO DE MATERIAL DE CONSTRUÇÃO EM GERAL PARA ATENDER AS NECESSIDADES DA PREFEITURA MUNICIPAL E SECRETARIAS. - SRP 018/2025</t>
  </si>
  <si>
    <t>37.505.970/0001-59</t>
  </si>
  <si>
    <t>R$ 1.422.038,53</t>
  </si>
  <si>
    <t>SEC OBRAS</t>
  </si>
  <si>
    <t>SRP 007- JOAO PAULO GUEDES SARAIV A LTDA</t>
  </si>
  <si>
    <t>*AGOSTO/2026</t>
  </si>
  <si>
    <t>07/08/2025 A 07/08/2026</t>
  </si>
  <si>
    <t>R$ 179.430,50</t>
  </si>
  <si>
    <t>R$ 14.952,54</t>
  </si>
  <si>
    <t>VER COM SEMAP E OBRAS</t>
  </si>
  <si>
    <t>CONTRATO ADMINISTRATIVO 102/2025</t>
  </si>
  <si>
    <t>SRP 007- DIGITAL CENTER COMÉRCIO VAREJISTA DE MERCADORIAS LTDA</t>
  </si>
  <si>
    <t>R$ 173.520,00</t>
  </si>
  <si>
    <t>R$ 14.460,00</t>
  </si>
  <si>
    <t>DIEGO DA C. GRACA LTDA</t>
  </si>
  <si>
    <t>CONTRATO ADMINISTRATIVO 103/2025</t>
  </si>
  <si>
    <t>DIEGO</t>
  </si>
  <si>
    <t>(92) 98421-9039</t>
  </si>
  <si>
    <t>35.335.305/0001-39</t>
  </si>
  <si>
    <t>SRP 007- DIEGO DA C. GRACA LTDA</t>
  </si>
  <si>
    <t>R$ 189.931,00</t>
  </si>
  <si>
    <t>R$ 15.827,58</t>
  </si>
  <si>
    <t>ELETRICA SANTA BARBARA LTDA</t>
  </si>
  <si>
    <t>CONTRATO ADMINISTRATIVO 104/2025</t>
  </si>
  <si>
    <t>05.011.487/0001-21</t>
  </si>
  <si>
    <t>SRP 007- ELETRICA SANTA BARBARA LTDA</t>
  </si>
  <si>
    <t>R$ 359.705,00</t>
  </si>
  <si>
    <t>R$ 29.975,42</t>
  </si>
  <si>
    <t>F. A. FERREIRA &amp; CIA LTDA</t>
  </si>
  <si>
    <t>CONTRATO ADMINISTRATIVO 105/2025</t>
  </si>
  <si>
    <t>54.145.747/0001-67</t>
  </si>
  <si>
    <t>SRP 007- F. A. FERREIRA &amp; CIA LTDA</t>
  </si>
  <si>
    <t>R$ 404.510,78</t>
  </si>
  <si>
    <t>R$ 33.709,23</t>
  </si>
  <si>
    <t>AMAZON ECCON SERVIÇOS DE MONITORAMENTO DE SISTEMAS DE SEGURANÇA ELETRÔNICO LTDA</t>
  </si>
  <si>
    <t>CONTRATO ADMINISTRATIVO 106/2025</t>
  </si>
  <si>
    <t>10.521.835/0001-40</t>
  </si>
  <si>
    <t>SRP 007- AMAZON ECCON SERVIÇOS DE MONITORAMENTO DE SISTEMAS DE SEGURANÇA
ELETRÔNICO LTDA</t>
  </si>
  <si>
    <t>R$ 114.941,25</t>
  </si>
  <si>
    <t>R$ 9.578,44</t>
  </si>
  <si>
    <t>FELIPE G. DA SILVA</t>
  </si>
  <si>
    <t>032/2025</t>
  </si>
  <si>
    <t>CONTRATO ADMINISTRATIVO 032/2025</t>
  </si>
  <si>
    <t>FELIPE</t>
  </si>
  <si>
    <t>(92) 99440-2126</t>
  </si>
  <si>
    <t>REGISTRO DE PREÇO CONTRATAÇÃO DE EMPRESA ESPECIALIZADA PARA EVENTUAL PRESTAÇÃO DE SERVIÇOS DE TRANSPORTE FLUVIAL  SRP 007/2025</t>
  </si>
  <si>
    <t>27.390.436/0001-90</t>
  </si>
  <si>
    <t>PREGÃO PRESENCIAL</t>
  </si>
  <si>
    <t>R$ 2.336.160,00</t>
  </si>
  <si>
    <t>SRP 001/2025P – FELIPE G DA SILVA</t>
  </si>
  <si>
    <t>07/04/2025 A 07/04/2026</t>
  </si>
  <si>
    <t>R$ 194.680,00</t>
  </si>
  <si>
    <t>LUCAS MATHEUS SAMPAIO SANTOS LTDA</t>
  </si>
  <si>
    <t>033/2025</t>
  </si>
  <si>
    <t>CONTRATO ADMINISTRATIVO 033-A/2025</t>
  </si>
  <si>
    <t>LUCAS</t>
  </si>
  <si>
    <t>(92) 98145-8896</t>
  </si>
  <si>
    <t>LOCAÇÃO DE VEÍCULOS AUTOMOTIVOS, SEM MOTORISTA, COM TANQUE DE COMBUSTÍVEL COMPLETO, COM QUILOMETRAGEM LIVRE, SEGURO TOTAL SEM FRANQUIA, CONFORME
DISCRIMINADO NO TERMO DE REFERÊNCIA SRP 008/2025</t>
  </si>
  <si>
    <t>18.726.122/0001-25</t>
  </si>
  <si>
    <t>R$ 1.163.000,00</t>
  </si>
  <si>
    <t>SRP 008- LUCAS MATHEUS SAMPAIO SANTOS LTDA</t>
  </si>
  <si>
    <t>10/04/2025 A 10/04/2026</t>
  </si>
  <si>
    <t>R$ 625.000,00</t>
  </si>
  <si>
    <t>R$ 52.083,33</t>
  </si>
  <si>
    <t>LYRA COMERCIO DE VEICULOS AUTOMOTIVOS LTDA</t>
  </si>
  <si>
    <t>CONTRATO ADMINISTRATIVO 033-B/2025</t>
  </si>
  <si>
    <t>LYRA COMERCIO DE VEÍCULOS AUTOMOTIVOS LTDA</t>
  </si>
  <si>
    <t>MARCINHO</t>
  </si>
  <si>
    <t>(92) 99407-2226</t>
  </si>
  <si>
    <t>28.142.633/0001-53</t>
  </si>
  <si>
    <t>SRP 008-  LYRA COMERCIO DE VEÍCULOS AUTOMOTIVOS LTDA</t>
  </si>
  <si>
    <t>R$ 538.000,00</t>
  </si>
  <si>
    <t>R$ 44.833,33</t>
  </si>
  <si>
    <t>H DA S. PEREIRA LTDA</t>
  </si>
  <si>
    <t>018/2025</t>
  </si>
  <si>
    <t>CONTRATO ADMINISTRATIVO ???</t>
  </si>
  <si>
    <t>H. DA S. PEREIRA LTDA</t>
  </si>
  <si>
    <t>HENRIQUE</t>
  </si>
  <si>
    <t>(92) 98618-7891</t>
  </si>
  <si>
    <t>CONTRATAÇÃO DE EMPRESA PARA FORNECIMENTO DE INTERNET PARA ATENDER OS DEPARTAMENTOS DO MUNICIPIO DE BORBA/AM</t>
  </si>
  <si>
    <t>48.210.511/0001-64</t>
  </si>
  <si>
    <t>R$ 1.936.065,60</t>
  </si>
  <si>
    <t>R$ 161.338,80</t>
  </si>
  <si>
    <t>SIM</t>
  </si>
  <si>
    <t>JOSE DE OLIVEIRA NUNES</t>
  </si>
  <si>
    <t>040/2025</t>
  </si>
  <si>
    <t>CONTRATO ADMINISTRATIVO 040/2025</t>
  </si>
  <si>
    <t>MATEUS</t>
  </si>
  <si>
    <t>(92) 98432-8248</t>
  </si>
  <si>
    <t xml:space="preserve">CONTRATAÇÃO DE PESSOA FISICA PARA LOCAÇÃO DE IMÓVEL PARA ATENDER AS NECESSIDADES DO CONSELHO TUTELAR BORBA/AM
</t>
  </si>
  <si>
    <t>04.477.568/0001-59</t>
  </si>
  <si>
    <t>008/2025</t>
  </si>
  <si>
    <t>28/02/2025 A 28/02/2026</t>
  </si>
  <si>
    <t xml:space="preserve">VER COM SEMAP  </t>
  </si>
  <si>
    <t>ALBERTO DA SILVA OLIVEIRA</t>
  </si>
  <si>
    <t>041/2025</t>
  </si>
  <si>
    <t>CONTRATO ADMINISTRATIVO 041/2025</t>
  </si>
  <si>
    <t xml:space="preserve">VER </t>
  </si>
  <si>
    <t xml:space="preserve">CONTRATAÇÃO DE PESSOA FISICA  PARA LOCAÇÃO DE IMÓVEL  EM MANAUS PARA FUNCIONAMENTO DA CASA DE APOIO DO MUNICIPIO DE BORBA/AM </t>
  </si>
  <si>
    <t>608.380.272-53</t>
  </si>
  <si>
    <t>009/2025</t>
  </si>
  <si>
    <t xml:space="preserve">PRODAM PROCESSAMENTO DE DADOS AMAZONAS S.A                                                                                                        </t>
  </si>
  <si>
    <t>042/2025</t>
  </si>
  <si>
    <t>CONTRATO ADMINISTRATIVO 042/2025</t>
  </si>
  <si>
    <t>PRODAM PROCESSAMENTO DE DADOS AMAZONAS SA</t>
  </si>
  <si>
    <t>ELDIO</t>
  </si>
  <si>
    <t>(92) 99165-7199</t>
  </si>
  <si>
    <t xml:space="preserve">LICENÇA DE USO DE SOFTWARE DE SISTEMA DE INFORMAÇÃO NA PLATAFORMA DE COMUNICAÇÃO E COLABORAÇÃO CORPORATIVA VIA WEB </t>
  </si>
  <si>
    <t>04.407.920/0001-80</t>
  </si>
  <si>
    <t>010/2025</t>
  </si>
  <si>
    <t>FIORILLI SOFTWARE LTDA</t>
  </si>
  <si>
    <t>045/2025</t>
  </si>
  <si>
    <t>CONTRATO ADMINISTRATIVO 045/2025</t>
  </si>
  <si>
    <t>ADRIANO</t>
  </si>
  <si>
    <t>LOCAÇÃO DE RECURSOS PARA VIRTUALIZAÇÃO DOS SISTEMAS PARA PREFEITURA MUNICIPAL: FLOWDOCS – SISTEMA DE FLUXOS E PROCESSOS;</t>
  </si>
  <si>
    <t>01.704.233/0001-38</t>
  </si>
  <si>
    <t>011/2025</t>
  </si>
  <si>
    <t>*MARCO/2026</t>
  </si>
  <si>
    <t>03/03/2025 A 03/03/2026</t>
  </si>
  <si>
    <t xml:space="preserve">FASITEC DESENVOLVIMENTO E TECNOLOGIA LTDA </t>
  </si>
  <si>
    <t>046/2025</t>
  </si>
  <si>
    <t>CONTRATO ADMINISTRATIVO 046/2025</t>
  </si>
  <si>
    <t>FASITEC DESENVOLVIMENTO E TECNOLOGIA LTDA</t>
  </si>
  <si>
    <t>YURI</t>
  </si>
  <si>
    <t>(97)99170-6161</t>
  </si>
  <si>
    <t>PRESTAÇÃO DE SERVIÇOS TECNICOS E ESPECIALIZADOS EM IMPLANTAÇÃO, MANUTENÇÃO, SUPORTE AO REFERIDO SISTEMA E EXECUÇÃO DO CÁLCULO DAS MARGENS CONSIGNAVEIS SEM ÔNUS QUAISQUER PARA O MUNICIPIO E SEUS SERVIDORES, Na Forma Do Procedimento De Inexigibilidade De Licitação, De Acordo Com O Art. 74 Ili, Alínea "C" Da Lei Federal Nº 14.133/2021, Conforme Detalhamento Constante No Projeto Básico Anexo</t>
  </si>
  <si>
    <t>00.483.195/0001-78</t>
  </si>
  <si>
    <t>SEM ONUS</t>
  </si>
  <si>
    <t>ASSOCIAÇÃO DOS PRODUTORES RURAIS DO POLO DO CAICARA DO RIO MADEIRA</t>
  </si>
  <si>
    <t>051/2025</t>
  </si>
  <si>
    <t>CONTRATO ADMINISTRATIVO 051 I/2025</t>
  </si>
  <si>
    <t xml:space="preserve">Raimundo Pinheiro Viana </t>
  </si>
  <si>
    <t>(92) 8823-6758 / (92) 8504-7099</t>
  </si>
  <si>
    <t>advocaciasaraiva81@gmail.com</t>
  </si>
  <si>
    <t>Aquisição de gêneros alimentícios da Agricultura Familiar e     do Empreendedor Familiar Rural, para o atendimento ao Programa Nacional de Alimentação Escolar – PNAE,    conforme especificações dos gêneros alimentícios no Anexo      I</t>
  </si>
  <si>
    <t>53.077.875/0001-58</t>
  </si>
  <si>
    <t>CHAMAMENTO PÚBLICO</t>
  </si>
  <si>
    <t>*MAIO/2025</t>
  </si>
  <si>
    <t>R$ 1.045.534,00</t>
  </si>
  <si>
    <t>R$ 300.090,50</t>
  </si>
  <si>
    <t>R$ 25.007,54</t>
  </si>
  <si>
    <t>NIL FIRMINO PEREIRA</t>
  </si>
  <si>
    <t>CONTRATO ADMINISTRATIVO 051/B2025</t>
  </si>
  <si>
    <t>005.473.202-64</t>
  </si>
  <si>
    <t>R$ 19.760,00</t>
  </si>
  <si>
    <t>R$ 1.646,67</t>
  </si>
  <si>
    <t>JOBERSON BRAZ MAUES</t>
  </si>
  <si>
    <t>CONTRATO ADMINISTRATIVO 051/G2025</t>
  </si>
  <si>
    <t>385.177.132-49</t>
  </si>
  <si>
    <t>R$ 38.628,00</t>
  </si>
  <si>
    <t>R$ 3.219,00</t>
  </si>
  <si>
    <t>ELMA BARBOSA DOS SANTOS</t>
  </si>
  <si>
    <t>CONTRATO ADMINISTRATIVO 051A/2025</t>
  </si>
  <si>
    <t>049.408.952-03</t>
  </si>
  <si>
    <t>R$ 18.075,00</t>
  </si>
  <si>
    <t>R$ 1.506,25</t>
  </si>
  <si>
    <t>ROSINEI SOUZA DA SILVA</t>
  </si>
  <si>
    <t>CONTRATO ADMINISTRATIVO 051C/2025</t>
  </si>
  <si>
    <t>708.028.152-00</t>
  </si>
  <si>
    <t>R$ 27.067,00</t>
  </si>
  <si>
    <t>R$ 2.255,58</t>
  </si>
  <si>
    <t>ANTONIO GERALDO MASCARENHAS VIEIRA</t>
  </si>
  <si>
    <t>CONTRATO ADMINISTRATIVO 051D/2025</t>
  </si>
  <si>
    <t>664.054.592-68</t>
  </si>
  <si>
    <t>R$ 26.285,50</t>
  </si>
  <si>
    <t>R$ 2.190,46</t>
  </si>
  <si>
    <t>THAMARA KELLY RAMOS</t>
  </si>
  <si>
    <t>CONTRATO ADMINISTRATIVO 051E/2025</t>
  </si>
  <si>
    <t>015.280.282-79</t>
  </si>
  <si>
    <t>R$ 29.627,50</t>
  </si>
  <si>
    <t>R$ 2.468,96</t>
  </si>
  <si>
    <t>ROBSON DA SILVA LIMA</t>
  </si>
  <si>
    <t>CONTRATO ADMINISTRATIVO 051F/2025</t>
  </si>
  <si>
    <t>Aquisição de gêneros alimentícios da Agricultura Familiar e do Empreendedor Familiar Rural, para o atendimento ao Programa Nacional de Alimentação Escolar – PNAE, conforme especificações dos gêneros alimentícios no Anexo I</t>
  </si>
  <si>
    <t>820.452.322-04</t>
  </si>
  <si>
    <t>R$ 23.850,00</t>
  </si>
  <si>
    <t>R$ 1.987,50</t>
  </si>
  <si>
    <t>ASSOCIAÇÃO DOS PRODUTORES RURAIS DE NOVA ESPERANÇA</t>
  </si>
  <si>
    <t>CONTRATO ADMINISTRATIVO 051H/2025</t>
  </si>
  <si>
    <t>Alneisson da Silva Vale</t>
  </si>
  <si>
    <t>(92) 9501-1540 / (92) 9282-0680</t>
  </si>
  <si>
    <t>erico.leite@hotmail.com</t>
  </si>
  <si>
    <t xml:space="preserve">Aquisição de gêneros alimentícios da Agricultura Familiar e do Empreendedor Familiar Rural, para o atendimento ao Programa Nacional de Alimentação Escolar – PNAE, conforme especificações dos gêneros alimentícios no Anexo I </t>
  </si>
  <si>
    <t>35.456.591/0001-90</t>
  </si>
  <si>
    <t>ROSIANE FARIAS BELEZA COLARES</t>
  </si>
  <si>
    <t>CONTRATO ADMINISTRATIVO 051J/2025</t>
  </si>
  <si>
    <t>068.099.942-62</t>
  </si>
  <si>
    <t>R$ 33.720,00</t>
  </si>
  <si>
    <t>R$ 2.810,00</t>
  </si>
  <si>
    <t>MARIA MARINETE JATAI REGES</t>
  </si>
  <si>
    <t>CONTRATO ADMINISTRATIVO 051K/2025</t>
  </si>
  <si>
    <t>435.982.342-87</t>
  </si>
  <si>
    <t xml:space="preserve">W.M TEIXEIRA LTDA                                         </t>
  </si>
  <si>
    <t>CONSTRUCAO</t>
  </si>
  <si>
    <t>054/2025</t>
  </si>
  <si>
    <t>CONTRATO ADMINISTRATIVO 054/2025</t>
  </si>
  <si>
    <t>W. M. TEIXEIRA LTDA</t>
  </si>
  <si>
    <t>CONTRATAÇÃO DE EMPRESA ESPECIALIZADA NO SERVIÇO DE CONSTRUÇÃO DE VIVEIRO DE MUDAS PARA ATENDER AO PROGRAMA DE DISTRIBUIÇÃO DE MUDAS DA PREFEITURA MUNICIPAL DE BORBA/AM.</t>
  </si>
  <si>
    <t>56.691.076/0001-65</t>
  </si>
  <si>
    <t>SEMPRA</t>
  </si>
  <si>
    <t>09/05/2025 A 09/08/2025</t>
  </si>
  <si>
    <t>VER COM SEMPRA</t>
  </si>
  <si>
    <t>055/2025</t>
  </si>
  <si>
    <t>CONTRATO ADMINISTRATIVO 055/2025</t>
  </si>
  <si>
    <t xml:space="preserve">Licenciamento de uso de Programas ou Sistemas para a Administração Pública Municipal, por tempo indeterminado e o treinamento dos técnicos municipais para a execução dos serviços
</t>
  </si>
  <si>
    <t>013/2025</t>
  </si>
  <si>
    <t>18/03/2025 A 18/03/2026</t>
  </si>
  <si>
    <t>AUTO POSTO SANTO ANTÔNIO LTDA</t>
  </si>
  <si>
    <t>057/2025</t>
  </si>
  <si>
    <t>CONTRATO ADMINISTRATIVO 057/2025</t>
  </si>
  <si>
    <t>AUTO POSTO SANTO ANTONIO</t>
  </si>
  <si>
    <t>KAIKE</t>
  </si>
  <si>
    <t>REGISTRO DE PREÇO PARA FUTURA E EVENTUAL AQUISIÇÃO DE COMBUSTÍVEIS E DERIVADOS DE PETRÓLEO PARA ATENDER AS NECESSIDADES DAS SECRETARIAS, GABINETE E FUNDOS MUNICIPAIS DO MUNICÍPIO DE BORBA/AM - SRP 012/2025</t>
  </si>
  <si>
    <t>12.255.262/0001-33</t>
  </si>
  <si>
    <t>PREGAO PRESENCIAL</t>
  </si>
  <si>
    <t>SRP -012/2025</t>
  </si>
  <si>
    <t>R$ 5.695.997,50</t>
  </si>
  <si>
    <t>SRP- AUTO POSTO SANTO ANTONIO</t>
  </si>
  <si>
    <t>26/04/2025 A 26/04/2026</t>
  </si>
  <si>
    <t>R$ 3.866.748,00</t>
  </si>
  <si>
    <t>R$ 322.229,00</t>
  </si>
  <si>
    <t>MRP DE ALMEIDA</t>
  </si>
  <si>
    <t>27.360.719/0001-90</t>
  </si>
  <si>
    <t>SRP- MRP DE ALMEIDA</t>
  </si>
  <si>
    <t>R$ 1.829.249,50</t>
  </si>
  <si>
    <t>R$ 152.437,46</t>
  </si>
  <si>
    <t>A S R LOCAÇÃO DE VEÍCULOS LTDA</t>
  </si>
  <si>
    <t>059/2025</t>
  </si>
  <si>
    <t>CONTRATO ADMINISTRATIVO 059-A/2025</t>
  </si>
  <si>
    <t>ASR  LOCACAO DE VEICULOS LTDA</t>
  </si>
  <si>
    <t>ROCHA</t>
  </si>
  <si>
    <t>(92) 99210-7507</t>
  </si>
  <si>
    <t>SERVIÇOS DE LOCAÇÃO DE MAQUINAS PESADAS PARA OBRAS DE ENGENHARIA, AFIM DE ATENDER AS NECESSIDADES DA PREFEITURA MUNICIPAL DE BORBA SRP 014/2025</t>
  </si>
  <si>
    <t>10.632.838/0001-51</t>
  </si>
  <si>
    <t>SRP- 014/2025</t>
  </si>
  <si>
    <t>R$ 4.111.858,80</t>
  </si>
  <si>
    <t>SRP 014/2025 – ASR  LOCACAO DE VEICULOS LTDA</t>
  </si>
  <si>
    <t>*JUNHO/2025</t>
  </si>
  <si>
    <t>03/06/2025 A 03/06/2026</t>
  </si>
  <si>
    <t>15/05/2025 A 15/05/2026</t>
  </si>
  <si>
    <t>R$ 1.674.318,00</t>
  </si>
  <si>
    <t>R$ 139.526,50</t>
  </si>
  <si>
    <t>JF EMPREENDIMENTOS E CONSTRUçõES LTDA</t>
  </si>
  <si>
    <t>059-B/2025</t>
  </si>
  <si>
    <t>CONTRATO ADMINISTRATIVO 059-B/2025</t>
  </si>
  <si>
    <t>JF EMPREENDIMENTOS CONSTRUÇÕES LTDA</t>
  </si>
  <si>
    <t>JOSUE</t>
  </si>
  <si>
    <t>(92) 99119-5659</t>
  </si>
  <si>
    <t>11.343.789/0001-08</t>
  </si>
  <si>
    <t>SRP 014/2025- JF EMPREENDIMENTOS CONSTRUÇÕES LTDA</t>
  </si>
  <si>
    <t>R$ 2.437.540,80</t>
  </si>
  <si>
    <t>R$ 203.128,40</t>
  </si>
  <si>
    <t>FUNERARIA REI DAVI</t>
  </si>
  <si>
    <t>060/2025</t>
  </si>
  <si>
    <t>CONTRATO ADMINISTRATIVO 060/2025</t>
  </si>
  <si>
    <t>FUNERÁRIO REI DAVI LTDA</t>
  </si>
  <si>
    <t>ALBERTSON</t>
  </si>
  <si>
    <t>(92) 98431-9456</t>
  </si>
  <si>
    <t>CONTRATAÇÃO DE EMPRESA ESPECIALIZADA PARA FORNECIMENTO DE URNAS FUNERÁRIAS E PRESTAÇÃO DE SERVIÇOS FUNERÁRIOS, VISANDO ATENDER AS NECESSIDADES DA PREFEITURA MUNICIPAL D EBORBA/AM FUNERARIO SRP 015/2025</t>
  </si>
  <si>
    <t>56..364.469/0001-64</t>
  </si>
  <si>
    <t>SRP- 015/2025</t>
  </si>
  <si>
    <t>R$ 396.000,00</t>
  </si>
  <si>
    <t>SEC ASSISTÊNCIA</t>
  </si>
  <si>
    <t>SRP 015 – FUNERARIA REI DAVI LTDA</t>
  </si>
  <si>
    <t>*MAIO/2026</t>
  </si>
  <si>
    <t>22/05/2025 A 22/05/2026</t>
  </si>
  <si>
    <t>R$ 33.000,00</t>
  </si>
  <si>
    <t xml:space="preserve">C C FERNANDES LTDA                                              </t>
  </si>
  <si>
    <t>062/2025</t>
  </si>
  <si>
    <t>CONTRATO ADMINISTRATIVO 062/2025</t>
  </si>
  <si>
    <t>C.C. FERNANDES LTDA</t>
  </si>
  <si>
    <t>JOBSON</t>
  </si>
  <si>
    <t>(92) 98241-4701</t>
  </si>
  <si>
    <r>
      <rPr>
        <sz val="11"/>
        <color rgb="FF000000"/>
        <rFont val="Inconsolata"/>
      </rPr>
      <t xml:space="preserve"> CONTRATAÇÃO DE EMPRESA PARA FORNECIMENTO DE SERVIÇOS DE MANUTENÇÃO PREVENTIVA E CORRETIVA DE POÇOS ARTESIANOS  - </t>
    </r>
    <r>
      <rPr>
        <b/>
        <sz val="11"/>
        <color rgb="FF000000"/>
        <rFont val="Inconsolata"/>
      </rPr>
      <t>SRP 017/2025</t>
    </r>
  </si>
  <si>
    <t>13.091862/0001-19</t>
  </si>
  <si>
    <t>SRP- 017/2025</t>
  </si>
  <si>
    <t>BORBA SANEAMENTO</t>
  </si>
  <si>
    <t>28/04/2025 A 28/04/2026</t>
  </si>
  <si>
    <t>VER COM BORBA SANEAMENTO</t>
  </si>
  <si>
    <t xml:space="preserve">POLITIKA ASSESSORIA INSTITUCIONAL LTDA </t>
  </si>
  <si>
    <t>063/2025</t>
  </si>
  <si>
    <t>CONTRATO ADMINISTRATIVO 063/2025</t>
  </si>
  <si>
    <t>TONICO</t>
  </si>
  <si>
    <t>(61) 99277-8599</t>
  </si>
  <si>
    <t>ELABORAÇÃO DE ESTUDOS TÉCNICO-ESPECIALIZADOS, PLANEJAMENTO, EMISSÃO DE PARECERES TÉCNICOS, REALIZAÇÃO DE PERÍCIAS EAVALIAÇÕES EM GERAL, PRESTAÇÃO DE ASSESSORIAS OU CONSULTORIAS TÉCNICO-ESPECIALIZADAS, BEM COMO AUDITORIAS FINANCEIRAS OU TRIBUTÁRIAS</t>
  </si>
  <si>
    <t>47.251.377/0001-87</t>
  </si>
  <si>
    <t>014/2025</t>
  </si>
  <si>
    <t>*JULHO/2025</t>
  </si>
  <si>
    <t>16/07/2025 A 16/07/2026</t>
  </si>
  <si>
    <t>064/2025</t>
  </si>
  <si>
    <t>CONTRATO ADMINISTRATIVO 064/2025</t>
  </si>
  <si>
    <t>REGISTRO DE PREÇOS PARA FUTURA E EVENTUAL
CONTRATAÇÃO DE PESSOA JURÍDICA ESPECIALIZADA EM SERVIÇOS DE  LOCAÇÃO DE BALSA COM EMPURRADORES/REBOCADORES, COM      COMBUSTÍVEL E EQUIPADA COM RAMPA PARA EMBARQUE E
DESEMBARQUE, DESTINADAS A SUPRIR AS
NECESSIDADES DA
PREFEITURA MUNICIPAL DE BORBA/AM. -  SRP 019/2025</t>
  </si>
  <si>
    <t>SRP -019/2025</t>
  </si>
  <si>
    <t>R$ 3.272.400,00</t>
  </si>
  <si>
    <t>SRP- 019/2025 – LUCAS MATEUS SAMPAIO SANTOS LTDA</t>
  </si>
  <si>
    <t>22/07/20255 A 21207/2026</t>
  </si>
  <si>
    <t>22/07/2025 A 22/07/2026</t>
  </si>
  <si>
    <t>R$ 272.700,00</t>
  </si>
  <si>
    <t>CIENTIK TV EDUCATIVA INTERNET LTDA</t>
  </si>
  <si>
    <t>069/2025</t>
  </si>
  <si>
    <t>CONTRATO ADMINISTRATIVO 069/2025</t>
  </si>
  <si>
    <t>(97) 99170-6161</t>
  </si>
  <si>
    <t>CONTRATAÇÃO DE ASSESSORIA TÉCNICA E OFERTA DE SERVIÇO DE STREAMING OTT, COM ACERVO DE CURSOS E CONTEÚDOS DE TECNOLOGIA DIGITAL, EM SINTONIA COM A BASE NACIONAL COMUM CURRICULAR – BNCC, SOB A FORMA DE LICENÇAS DE BASE DE DADOS DIGITAL DE CONTEÚDO AUDIOVISUAL, PARA ATENDER AS DEMANDAS DA SECRETARIA MUNICIPAL DE EDUCAÇÃO DO MUNICÍPIO DE BORBA-AM</t>
  </si>
  <si>
    <t>46.988.181/0001/07</t>
  </si>
  <si>
    <t>015/2025</t>
  </si>
  <si>
    <t>14/05/2025 A 14/05/2026</t>
  </si>
  <si>
    <t>GRANDE MANAUS COMUNICAÇÃO LTDA</t>
  </si>
  <si>
    <t>070/2025</t>
  </si>
  <si>
    <t>CONTRATO ADMINISTRATIVO 070/2025</t>
  </si>
  <si>
    <t xml:space="preserve">DESENVOLVIMENTO DE CONTRATAÇÃO DE DESENVOLVIMENTO, MANUTENÇÃO, SUPORTE E HOSPEDAGEM DE PORTAL SITE INSTITUCIONAL </t>
  </si>
  <si>
    <t>55.362.922/0001-30</t>
  </si>
  <si>
    <t>016/2025</t>
  </si>
  <si>
    <t>05/05/2025 A 05/05/2026</t>
  </si>
  <si>
    <t>3G COMERCIO VAREJISTA DE MATERIAIS DE CONSTRUÇÃO LTDA</t>
  </si>
  <si>
    <t>071-A/2025</t>
  </si>
  <si>
    <t>CONTRATO ADMINISTRATIVO 071-A/2025</t>
  </si>
  <si>
    <t>JOSÉ GRACELY GOES GRAÇA</t>
  </si>
  <si>
    <t>AQUISIÇÃO DE GENEROS ALIMENTÍCIOS, CONFORME CONDIÇÕES, QUANTIDADES E EXIGÊNCIAS ESTABELECIDAS PARA ATENDER A NECESSIDADE DA SECRETARIA DE SAÚDE E ADMINISTRAÇÃO DA PREFEITURA MUNICIPAL DE BORBA -AMAZONAS.   SRP 020/2025</t>
  </si>
  <si>
    <t>84.543.123/0001-69</t>
  </si>
  <si>
    <t>SRP -020/2025</t>
  </si>
  <si>
    <t>R$ 3.475.814,26</t>
  </si>
  <si>
    <t>SRP 020/2025- 3G COMERCIO VAREJISTA DE MATERIAIS DE CONSTRUÇÃO LTDA</t>
  </si>
  <si>
    <t>11/07/2025 A 11/07/2026</t>
  </si>
  <si>
    <t>R$ 195.129,64</t>
  </si>
  <si>
    <t>R$ 16.260,80</t>
  </si>
  <si>
    <t>A. D. A. COMÉRCIO DE MERCADORIAS E SERVIÇOS DE REFRIGERAÇÃO LTDA</t>
  </si>
  <si>
    <t>071-B/2025</t>
  </si>
  <si>
    <t>CONTRATO ADMINISTRATIVO 071-B/2025</t>
  </si>
  <si>
    <t>A. D. A. COMÉRCIO DE MERCADORIAS E SERVIÇOS
DE REFRIGERAÇÃO LTDA</t>
  </si>
  <si>
    <t>ROBERMIRAMAR DE OLIVEIRA RODRIGUES</t>
  </si>
  <si>
    <t>41.468.482/0001-96</t>
  </si>
  <si>
    <t>SRP 020/2025-A. D. A. COMÉRCIO DE MERCADORIAS E SERVIÇOS</t>
  </si>
  <si>
    <t>R$ 491.251,52</t>
  </si>
  <si>
    <t>R$ 40.937,63</t>
  </si>
  <si>
    <t>A. J. VALE DO AMAZONAS LTDA</t>
  </si>
  <si>
    <t>071-C/2025</t>
  </si>
  <si>
    <t>CONTRATO ADMINISTRATIVO 071-C/2025</t>
  </si>
  <si>
    <t>ALVARO DA COSTA PINHEIRO JUNIOR</t>
  </si>
  <si>
    <t>10.352.477/0001-90</t>
  </si>
  <si>
    <t>SRP 020/2025-A. J. VALE DO AMAZONAS LTDA</t>
  </si>
  <si>
    <t>R$ 116.929,40</t>
  </si>
  <si>
    <t>R$ 9.744,12</t>
  </si>
  <si>
    <t>CEREALISTA E EMPACOTADORA CANAA LTDA</t>
  </si>
  <si>
    <t>071-D/2025</t>
  </si>
  <si>
    <t>CONTRATO ADMINISTRATIVO 071-D/2025</t>
  </si>
  <si>
    <t>THIAGO JUNIO DE AZEVEDO PAIXAO</t>
  </si>
  <si>
    <t>17.097.084/0001-26</t>
  </si>
  <si>
    <t>SRP 020/2025-CEREALISTA E EMPACOTADORA CANAA LTDA</t>
  </si>
  <si>
    <t>R$ 255.048,20</t>
  </si>
  <si>
    <t>R$ 21.254,02</t>
  </si>
  <si>
    <t>CRISTIANE DE S. MARQUES LTDA</t>
  </si>
  <si>
    <t>071-E/2025</t>
  </si>
  <si>
    <t>CONTRATO ADMINISTRATIVO 071-E/2025</t>
  </si>
  <si>
    <t>CRISTIANE DE SOUZA MARQUES</t>
  </si>
  <si>
    <t>50.746.051/0001/35</t>
  </si>
  <si>
    <t>SRP 020/2025-CRISTIANE DE
S. MARQUES LTDA</t>
  </si>
  <si>
    <t>R$ 507.911,78</t>
  </si>
  <si>
    <t>R$ 42.325,98</t>
  </si>
  <si>
    <t>071-F/2025</t>
  </si>
  <si>
    <t>CONTRATO ADMINISTRATIVO 071-F/2025</t>
  </si>
  <si>
    <t>OSEIAS RODRIGUES DE SOUZA</t>
  </si>
  <si>
    <t>SRP 020/2025-DIGITAL CENTER COMÉRCIO VAREJISTA DE MERCADORIAS LTDA</t>
  </si>
  <si>
    <t>R$ 381.970,85</t>
  </si>
  <si>
    <t>R$ 31.830,90</t>
  </si>
  <si>
    <t>071-G/2025</t>
  </si>
  <si>
    <t>CONTRATO ADMINISTRATIVO 071-G/2025</t>
  </si>
  <si>
    <t>ELIEL DE LIMA PINHEIRO</t>
  </si>
  <si>
    <t>SRP 020/2025-ELIEL DE LIMA</t>
  </si>
  <si>
    <t>R$ 368.231,12</t>
  </si>
  <si>
    <t>R$ 30.685,93</t>
  </si>
  <si>
    <t>F. G. CAVALCANTE LTDA</t>
  </si>
  <si>
    <t>071-H/2025</t>
  </si>
  <si>
    <t>CONTRATO ADMINISTRATIVO 071-H/2025</t>
  </si>
  <si>
    <t>FRANCISCO JORGE CAVALCANTE DA SILVA JUNIOR</t>
  </si>
  <si>
    <t>AQUISIÇÃO DE GENEROS ALIMENTÍCIOS, CONFORME CONDIÇÕES, QUANTIDADES E EXIGÊNCIAS ESTABELECIDAS PARA ATENDER A NECESSIDADE DA SECRETARIA DE SAÚDE E ADMINISTRAÇÃO DA PREFEITURA MUNICIPAL DE BORBA -AMAZONAS.   SRP
020/2025</t>
  </si>
  <si>
    <t>12.860.802/0001-50</t>
  </si>
  <si>
    <t>SRP 020/2025- F. G. CAVALCANTE LTDA</t>
  </si>
  <si>
    <t>R$ 442.036,24</t>
  </si>
  <si>
    <t>R$ 36.836,35</t>
  </si>
  <si>
    <t>GR SANTANA</t>
  </si>
  <si>
    <t>071-1/2025</t>
  </si>
  <si>
    <t>CONTRATO ADMINISTRATIVO 071-I/2025</t>
  </si>
  <si>
    <t>GERALDO RODRIGO SANTANA</t>
  </si>
  <si>
    <t>20.726.559/0001-00</t>
  </si>
  <si>
    <t>SRP 020/2025-GR SANTANA</t>
  </si>
  <si>
    <t>R$ 118.614,09</t>
  </si>
  <si>
    <t>R$ 9.884,51</t>
  </si>
  <si>
    <t>MARLON ANDRADE BATISTA</t>
  </si>
  <si>
    <t>071-J/2025</t>
  </si>
  <si>
    <t>CONTRATO ADMINISTRATIVO 071-J/2025</t>
  </si>
  <si>
    <t>58.326.731/0001-01</t>
  </si>
  <si>
    <t>SRP 020/2025-MARLON ANDRADE BATISTA</t>
  </si>
  <si>
    <t>R$ 85.483,60</t>
  </si>
  <si>
    <t>R$ 7.123,63</t>
  </si>
  <si>
    <t>SHAMAR VARIEDADES LTDA</t>
  </si>
  <si>
    <t>071-K/2025</t>
  </si>
  <si>
    <t>CONTRATO ADMINISTRATIVO 071-K/2025</t>
  </si>
  <si>
    <t>DALVANA DE CASTRO CARLOS</t>
  </si>
  <si>
    <t>(92) 8500-0557 / (92) 8497-0764</t>
  </si>
  <si>
    <t>dalvanacastro4@gmail.com</t>
  </si>
  <si>
    <t>29.119.475/0001-83</t>
  </si>
  <si>
    <t>SRP 020/2025-SHAMAR VARIEDADES LTDA</t>
  </si>
  <si>
    <t>R$ 513.207,82</t>
  </si>
  <si>
    <t>R$ 42.767,32</t>
  </si>
  <si>
    <t>R$ 4.525.814,26</t>
  </si>
  <si>
    <t>TA DANDO ES</t>
  </si>
  <si>
    <t>SE VALOR TO</t>
  </si>
  <si>
    <t>TAL</t>
  </si>
  <si>
    <t>HG SERVICE PRODUÇÕES DE EVENTOS LTDA</t>
  </si>
  <si>
    <t>075/2025</t>
  </si>
  <si>
    <t>CONTRATO ADMINISTRATIVO 0752025</t>
  </si>
  <si>
    <t>ORICELIO</t>
  </si>
  <si>
    <t>(92) 99253-4977</t>
  </si>
  <si>
    <t>CONTRATAÇÃO DE EMPRESA, ATRAVES DO SISTEMA  DE REGISTRO DE PREÇO, ESPECIALIZADA EM  LOCAÇÃO DE APARELHAMENTO PARA EVENTOS DIVERSOS, PARA ATENDER AS NECESSIDADERS DOS EVENTOS CULTURAIS APOIADOS E/OU   ADMINISTRADOS PELA PREFEITURA MUNICIPAL DE BORBA-AM</t>
  </si>
  <si>
    <t>10.764346/0001-10</t>
  </si>
  <si>
    <t>CAE-COMPRA ATA EXTERNA</t>
  </si>
  <si>
    <t>09/05/2025 A 09/05/2026</t>
  </si>
  <si>
    <t>R$ 4.629.091,20</t>
  </si>
  <si>
    <t>R$ 385.757,60</t>
  </si>
  <si>
    <t xml:space="preserve">TAXI AEREO VALE DO MADEIRA LTDA </t>
  </si>
  <si>
    <t>079/2025</t>
  </si>
  <si>
    <t>CONTRATO ADMINISTRATIVO 079/2025</t>
  </si>
  <si>
    <t>MARIO IVAN 
CAVALCANTE DE OLIVIERA JUNIOR</t>
  </si>
  <si>
    <t>MARIVAN</t>
  </si>
  <si>
    <t>(92) 98410-8565</t>
  </si>
  <si>
    <t>tavam.manaus@gmail.com</t>
  </si>
  <si>
    <r>
      <rPr>
        <sz val="11"/>
        <color rgb="FF000000"/>
        <rFont val="Inconsolata"/>
      </rPr>
      <t>CONTRATAÇÃO DE EMPRESA ESPECIALIZADA NA PRESTAÇÃO DE SERVIÇO DE FRETAMENTO DE AERONAVE, VISANDO ATENDER AS NECESSIDADES DO MUNICÍPIO DE BORBA-AM.</t>
    </r>
    <r>
      <rPr>
        <b/>
        <sz val="11"/>
        <color rgb="FF000000"/>
        <rFont val="Inconsolata"/>
      </rPr>
      <t xml:space="preserve"> 021/2025</t>
    </r>
  </si>
  <si>
    <t>22.467.056/0001-93</t>
  </si>
  <si>
    <t>SRP 021/2055</t>
  </si>
  <si>
    <t>02/06/2025 A 02/06/2026</t>
  </si>
  <si>
    <t xml:space="preserve">V M CONSTRUÇÕES LTDA                                                                                  </t>
  </si>
  <si>
    <t>080/2025</t>
  </si>
  <si>
    <t>CONTRATO ADMINISTRATIVO 080/2025</t>
  </si>
  <si>
    <t>V M CONSTRUÇÕES LTDA</t>
  </si>
  <si>
    <t>SANTOS</t>
  </si>
  <si>
    <t>(92) 99187-3076</t>
  </si>
  <si>
    <t xml:space="preserve">CONTRATAÇÃO DE EMPRESA ESPECIALIZADA PARA A ELABORAÇÃO DE PROJETO DE ARQUITETURA COMPLETO, COM FORNECIMENTO DE TODOS OS ELEMENTOS TÉCNICOS NECESSÁRIOS À EXECUÇÃO DA OBRA, INCLUINDO PLANTA BAIXA, CORTES, FACHADAS, PLANTA DE SITUAÇÃO, LAYOUT, MEMORIAL DESCRITIVO, QUADRO DE ÁREAS, ACESSIBILIDADE, E DEMAIS DOCUMENTOS EXIGIDOS PELA LEGISLAÇÃO VIGENTE, PARA ATENDER ÀS NECESSIDADES DA PREFEITURA MUNICIPAL DE BORBA </t>
  </si>
  <si>
    <t>16.639.600/0001-34</t>
  </si>
  <si>
    <t>13/05/2025 A 13/05/2026</t>
  </si>
  <si>
    <t>x</t>
  </si>
  <si>
    <t>AMAZONAS COMERCIO VAREJISTA DE ACESSÓRIOS MILITARES LTDA</t>
  </si>
  <si>
    <t>083/2025</t>
  </si>
  <si>
    <t>CONTRATO ADMINISTRATIVO 083/2025</t>
  </si>
  <si>
    <t>AMAZONAS COMERCIO VAREJISTA DE ACESSORIOS MILITARES LTDA</t>
  </si>
  <si>
    <t>ARLIENE SILVA DE SEIXAS</t>
  </si>
  <si>
    <t>Aquisição de fardamento completo para os Guardas Civis Municipais, com o objetivo de padronizar e adequar a apresentação dos servidores às normas institucionais, garantindo conforto, durabilidade e identificação visual adequada durante o exercício das funções, para atender os serviços da Prefeitura Municipal de Borba/AM</t>
  </si>
  <si>
    <t>11.518.322/0001-10</t>
  </si>
  <si>
    <t>019/2025</t>
  </si>
  <si>
    <t>SEC SEGURANCA</t>
  </si>
  <si>
    <t>28/07/2025 A 28/10/2025</t>
  </si>
  <si>
    <t>HF BRASIL LTDA</t>
  </si>
  <si>
    <t>090/2025</t>
  </si>
  <si>
    <t>CONTRATO ADMINISTRATIVO 090/2025</t>
  </si>
  <si>
    <t>FRANK LUIZ QUEIROS DA FROTA</t>
  </si>
  <si>
    <r>
      <rPr>
        <b/>
        <sz val="11"/>
        <color rgb="FF000000"/>
        <rFont val="Inconsolata"/>
      </rPr>
      <t xml:space="preserve">DEFESA CIVIL 2 </t>
    </r>
    <r>
      <rPr>
        <sz val="11"/>
        <color rgb="FF000000"/>
        <rFont val="Inconsolata"/>
      </rPr>
      <t xml:space="preserve">: CONTRATAÇÃO EMERGENCIAL, COM FUNDAMENTO NO ART. 75, INCISO VIII, DA LEI Nº 14.133/2021, PARA ATENDER À SITUAÇÃO DE CALAMIDADE PÚBLICA RECONHECIDA, VISANDO À EXECUÇÃO DE AÇÕES DE RESPOSTA E ASSISTÊNCIA HUMANITÁRIA NO ÂMBITO DA DEFESA CIVIL, MEDIANTE A TRANSFERÊNCIA DE RECURSOS, DESTINADOS À AQUISIÇÃO DE BENS ESSENCIAIS PARA MITIGAÇÃO DOS DANOS E RESTABELECIMENTO DAS CONDIÇÕES MÍNIMAS DE NORMALIDADE NO MUNICÍPIO.
</t>
    </r>
  </si>
  <si>
    <t>35.440.449/0001-55</t>
  </si>
  <si>
    <t>31/2025</t>
  </si>
  <si>
    <t>SEC DEFESA CIVIL</t>
  </si>
  <si>
    <t>30/07/2025 A 28/02/2026</t>
  </si>
  <si>
    <t>SANTA MONICA DISTRIBUIDORA DE PRODUTOS FARMACEUTICOS LTDA</t>
  </si>
  <si>
    <t>097/20255</t>
  </si>
  <si>
    <t>CONTRATO ADMINISTRATIVO 097/2025</t>
  </si>
  <si>
    <t>PAULO ROBERTO CHAVES DO CARMO</t>
  </si>
  <si>
    <t>AQUISICAO DE MEDICAMENTOS, MATERIASI ODONTOLOGICOS, PRODUTOS DE SAUDE E PRODUTOS NUTRICIONAIS PARA SEMSA.</t>
  </si>
  <si>
    <t>07.292.903/0001-32</t>
  </si>
  <si>
    <t>SEMSA</t>
  </si>
  <si>
    <t>01/08/2025 A 01/08/2026</t>
  </si>
  <si>
    <t>VER COM SEMSA</t>
  </si>
  <si>
    <t>RPM COMERCIO DE PRODUTOS FARMACEUTICOS LTDA</t>
  </si>
  <si>
    <t>098/20255</t>
  </si>
  <si>
    <t>CONTRATO ADMINISTRATIVO 098/2025</t>
  </si>
  <si>
    <t>REBECCA RAPOSO DA CAMARA CHAVES DO CARMO</t>
  </si>
  <si>
    <t>37.664.124/0001-81</t>
  </si>
  <si>
    <t xml:space="preserve">RM CONSTRUCOES LTDA </t>
  </si>
  <si>
    <t>PROCESSO LICITATÓRIO 089/2025</t>
  </si>
  <si>
    <t>RUICIANE MAIA RODRIGUES</t>
  </si>
  <si>
    <t xml:space="preserve">LUCAS </t>
  </si>
  <si>
    <t>MANUTENCAO PREVENTIVA E CORRETIVA PREDIOS PUBLICOS.</t>
  </si>
  <si>
    <t>35.162.289/0001-20</t>
  </si>
  <si>
    <t>CONCORRENCIA ELETRONICA</t>
  </si>
  <si>
    <t>SRP 025/2025</t>
  </si>
  <si>
    <t>SRP 025/2025- RM CONSTRUCOES LTDA</t>
  </si>
  <si>
    <t>30/07/2025 A 30/07/2026</t>
  </si>
  <si>
    <t>V A CONSULTORIA EMPRESARIAL LTDA</t>
  </si>
  <si>
    <t>098/2025</t>
  </si>
  <si>
    <t>V C CONSULTORIA EMPRESARIAL LTDA</t>
  </si>
  <si>
    <t>ROMINA</t>
  </si>
  <si>
    <t>ASSESSORIA SECRETARIA DE EDUCACAO MUNICIPIO DE BORBA</t>
  </si>
  <si>
    <t>41.681.038/0001-54</t>
  </si>
  <si>
    <t>020/2025</t>
  </si>
  <si>
    <t>EDUCA RIOS ASSESSORIA E CONSULTORIA PEGAGÓGICA LTDA</t>
  </si>
  <si>
    <t>099/2025</t>
  </si>
  <si>
    <t>CONTRATO ADMINISTRATIVO 099/2025</t>
  </si>
  <si>
    <t>(92) 99183-4451</t>
  </si>
  <si>
    <t>ASSESSORIA E CONSULTORIA PEGAGOGICA PARA DISGNOSTICO E ANALISE DOS DADOS DA EDUCACAO DO MUNICIPIO DE BORBA</t>
  </si>
  <si>
    <t>52.076.328/0001-95</t>
  </si>
  <si>
    <t>*SETEMBRO/2025</t>
  </si>
  <si>
    <t xml:space="preserve">LB CONSULTORIA E ASSESSORIA CONTABIL </t>
  </si>
  <si>
    <t>LB CONSULTORIA E ASSESSORIA CONTABIL</t>
  </si>
  <si>
    <t>LUMA</t>
  </si>
  <si>
    <t>(92) 99195-0593</t>
  </si>
  <si>
    <t>ASSESSORIA CONTABIL MUNICIIPIO DE BORBA</t>
  </si>
  <si>
    <t>SEMFFA</t>
  </si>
  <si>
    <t>077/2025</t>
  </si>
  <si>
    <t>CONTRATO ADMINISTRATIVO 077/2025</t>
  </si>
  <si>
    <t>MGC ARTIGOS DE PAPELARIA LTDA</t>
  </si>
  <si>
    <t>MIQUEIAS GONCALVES CASTILHO</t>
  </si>
  <si>
    <t>FORNECIMENTO DE MATERIAL ESPORTIVO PARA ATENDER A DEMANDA DAS SECRETARIAS MUNICIPAIS</t>
  </si>
  <si>
    <t>28.893.425/0001-72</t>
  </si>
  <si>
    <t>SEMEJ</t>
  </si>
  <si>
    <t>14/07/2025 A 13/01/2025</t>
  </si>
  <si>
    <t>R$ 521.222,50</t>
  </si>
  <si>
    <t>R$ 43.435,21</t>
  </si>
  <si>
    <t xml:space="preserve">RM  SOLUÇÕES CONTÁBEIS                                                                                  </t>
  </si>
  <si>
    <t xml:space="preserve">CONTRATO ADMINISTRATIVO N 009/2025 </t>
  </si>
  <si>
    <t>ROME CINEIDE GOMES MELLO,</t>
  </si>
  <si>
    <t>CONTRATAÇÃO DE EMPRESA ESPECIALIZADA EM ASSESSORIA E CONSULTORIA EM CONTABILIDADE PUBLICA</t>
  </si>
  <si>
    <t xml:space="preserve"> 37.197.658/0001-45</t>
  </si>
  <si>
    <t>004/2025</t>
  </si>
  <si>
    <t>12/01/2025 A12/12/2025</t>
  </si>
  <si>
    <t>ENCERRADO</t>
  </si>
  <si>
    <t>DISTRATO EM 31/03/2025</t>
  </si>
  <si>
    <t xml:space="preserve">DPA - CONTABILIDADE LTDA </t>
  </si>
  <si>
    <t>CONTRATO ADMINISTRATIVO N 020/2025</t>
  </si>
  <si>
    <t>(92) 8175-9993/</t>
  </si>
  <si>
    <t>PROSPERONOGUEIRA@HOTMAIL.COM</t>
  </si>
  <si>
    <t>MANUTENÇÃO DO PORTAL DA TRANSPARÊNCIA DO MUNICÍPIO DE
BORBA, COM PUBLICAÇÕES DE ATOS JURÍDICOS, ADMINISTRATIVOS E
ORÇAMENTÁRIOS, E-SIC SISTEMA DE INFORMAÇÃO AO CIDADÃO,
SELO DE CERTIFICADO DE SEGURANÇA NA HOSPEDAGEM, BACKUP
FÍSICO E NA NUVENS DO PORTAL E HOSPEDAGEM</t>
  </si>
  <si>
    <t>11.117.078/0001-07</t>
  </si>
  <si>
    <t>20/02/2025 A 20/02/2026</t>
  </si>
  <si>
    <t>12.000,00 (JAN E JUN)</t>
  </si>
  <si>
    <t>JANEIRO A DEZEMBRO</t>
  </si>
  <si>
    <t xml:space="preserve">NAIARA AZEVEDO PRODUÇÕES ARTISTICAS LTDA </t>
  </si>
  <si>
    <t>082/2025</t>
  </si>
  <si>
    <t>CONTRATO ADMINISTRATIVO N 082/2025</t>
  </si>
  <si>
    <t>NAIARA AZEVEDO PRODUÇÕES ARTISTICAS</t>
  </si>
  <si>
    <t>(62) 3638-7170</t>
  </si>
  <si>
    <t>ODAIR@WMA.COM.BR</t>
  </si>
  <si>
    <t>Contratação direta, por inexigibilidade de licitação, da artista Naiara Azevedo, profissional do setor artístico consagrada pela crítica especializada e opinião pública, para a realização de apre-sentação musical ao vivo no evento cultural no município de Borba/AM, como parte da progra-mação oficial promovida pela Prefeitura Municipal de Borba/AM, nos termos do art. 74, inciso II, da Lei nº 14.133/2021</t>
  </si>
  <si>
    <t>22.138.129/0001-01</t>
  </si>
  <si>
    <t xml:space="preserve">SEMAP / </t>
  </si>
  <si>
    <t>1206/2025 A 12/06/2025</t>
  </si>
  <si>
    <t>JUN</t>
  </si>
  <si>
    <t xml:space="preserve">K S PRODUÇÕES LTDA </t>
  </si>
  <si>
    <t>NÃO FOI ENCONTRADO DOCS</t>
  </si>
  <si>
    <t>117/2025</t>
  </si>
  <si>
    <t xml:space="preserve">CONTRATACAO DE ARTISTA DA CANTORA KLESSINHA PARA REALIZAÇÃO DE APRESENTAÇÃO ARTISTICA EM COMEMORAÇÃO DOS 270 ANOS DO MUNICIPIO DE BORBA/AM </t>
  </si>
  <si>
    <t>53.988.921/0001-70</t>
  </si>
  <si>
    <t>30/12/2025 A 31/12/2025</t>
  </si>
  <si>
    <t>NAVECA COMERCIO E REPRESENTAÇÃO - EPP</t>
  </si>
  <si>
    <t>CONTRATO ADMINISTRATIVO No. 008/2025</t>
  </si>
  <si>
    <t>ROBERT MOREIRA NAVECA</t>
  </si>
  <si>
    <t>92) 3348-4880</t>
  </si>
  <si>
    <t>rmnaveca.financeiro@gmail.com</t>
  </si>
  <si>
    <t xml:space="preserve">CONTRATAÇÃO DE PESSOA JURIDICA VISANDO A AQUISIÇÃO DE MEDICAMENTOS PARA ATENDER AS NECESSIDADES DA SECRETARIA MUNICIPAL DE BORBA </t>
  </si>
  <si>
    <t>05.613.884/0001-73.</t>
  </si>
  <si>
    <t>27/01/2025 a 28/07/2025,</t>
  </si>
  <si>
    <t xml:space="preserve">R M RODRIGUES SA LTDA                                                        </t>
  </si>
  <si>
    <t>CONTRATO ADMINISTRATIVO No. 013/2025</t>
  </si>
  <si>
    <t>R M RODRIGUES SA LTDA                                                        CNPJ: 35.162.289/0001-20</t>
  </si>
  <si>
    <t>92 99329253</t>
  </si>
  <si>
    <t>RMRODRIGUESSA5476@GMAIL.COM</t>
  </si>
  <si>
    <t xml:space="preserve">ADESÃO A ATA  SERVIÇOS DE REFORMA E MANUTENÇÃO PREDIAL (PAUINI) </t>
  </si>
  <si>
    <t>03/02/2025 A 03/02/2026</t>
  </si>
  <si>
    <t>02/07/2025 Aditivo Contratual n.o 001                  R$ 517.240,43</t>
  </si>
  <si>
    <t xml:space="preserve">FLASHNORT CONSERVAÇÃO E MANUTENÇÃO                                                                       </t>
  </si>
  <si>
    <t>CONTRATO ADMINISTRATIVO No. 0015/2025</t>
  </si>
  <si>
    <t>IVONGLETTI CORTEZ CONCEIÇÃO,</t>
  </si>
  <si>
    <t>(92) 9500-3519</t>
  </si>
  <si>
    <t>flashnortservicos@gmail.com</t>
  </si>
  <si>
    <t>AQUISIÇÃO PELO MENORPREÇO POR ITEM DE MATERIAL GRÁFICO DE INTERESSE DASECRETARIA MUNICIPAL DE ADMINISTRAÇÃO E DEMAISSECRETARIAS DA PREFEITURA MUNICIPAL DE NOVA OLINDA DONORTE/AM</t>
  </si>
  <si>
    <t>23.217.905/0001-13,</t>
  </si>
  <si>
    <t xml:space="preserve">C. F. S. AMAZON LTDA                                                                     </t>
  </si>
  <si>
    <t>CONTRATO ADMINISTRATIVO No. 016/2025</t>
  </si>
  <si>
    <t>CAIO FRADE SOUZA SILVA</t>
  </si>
  <si>
    <t>(92) 8147-7501</t>
  </si>
  <si>
    <t>cfsamazonltda@gmail.com</t>
  </si>
  <si>
    <t>EVENTUAL AQUISIÇÃO DE LINHA BRANCA
(ELETROELETRONICOS) PARA ATENDER AS NECESSIDADES
DA PREFEITURA MUNICIPAL DE PAUINI/AM.</t>
  </si>
  <si>
    <t>37.992.087/0001-30</t>
  </si>
  <si>
    <t>03/02/2025 A 03/08/2025</t>
  </si>
  <si>
    <t>R M RODRIGUES SA LTDA</t>
  </si>
  <si>
    <t>034/2025</t>
  </si>
  <si>
    <t>CONTRATO ADMINISTRATIVO nº 034/2025</t>
  </si>
  <si>
    <t>(92) 9329-2532</t>
  </si>
  <si>
    <t>EVENTUAL CONTRATAÇÃO DE EMPRESAS ESPECIALIZADA NO FORNECIMENTO DE MATERIAL DIDÁTICO PARA ATENDER AS DEMANDAS DA SECRETARIA MUNICIPAL DE EDUCAÇÃO DO MUNICIPIO DE BORBA/AM</t>
  </si>
  <si>
    <t xml:space="preserve">R M RODRIGUES SA LTDA </t>
  </si>
  <si>
    <t>086/2025</t>
  </si>
  <si>
    <r>
      <rPr>
        <b/>
        <sz val="11"/>
        <color theme="1"/>
        <rFont val="Inconsolata"/>
      </rPr>
      <t>REAJUSTE DE VALOR CONTRATUAL EM 25%</t>
    </r>
    <r>
      <rPr>
        <sz val="11"/>
        <color theme="1"/>
        <rFont val="Inconsolata"/>
      </rPr>
      <t xml:space="preserve"> DO MONTANTE INICIALMENTE PACTUADO, NOS TERMOS DO ART. 125, INCISO I DA LEI Nº 14.133/2021, MEDIANTE JUSTIFICATIVA TÉCNICA APRESENTADA E APROVADA PELA ADMINISTRAÇÃO.</t>
    </r>
  </si>
  <si>
    <t xml:space="preserve">35.162.289/0001-20 </t>
  </si>
  <si>
    <t xml:space="preserve">TOP WORK LTDA </t>
  </si>
  <si>
    <t>049/2026</t>
  </si>
  <si>
    <t>CONTRATO ADMINISTRATIVO No. 049/2025</t>
  </si>
  <si>
    <t>Pedro Henrique Campos Novaes</t>
  </si>
  <si>
    <t>(21) 6440-6554</t>
  </si>
  <si>
    <t>TOPWORK.VENDAS@HOTMAIL.COM</t>
  </si>
  <si>
    <t>AQUISIÇÃO DE ACERVO BIBLIOGRAFICO NACIONAL PARA ATENDER AOS ESTUDANTES E PROFESSORES DA EDUCAÇÃO INFANTIL, ENSINO FUNDAMENTO, ANOS INICIAIS E ANOS FINAIS, ENSINO MÉDIO, EDUCAÇÃO PROFISSIONAL E EDUCAÇÃO DE JOVENS E ADULTOS DA SECRETARIA MUNICIPAL DE EDUCAÇÃO DO MUNICIPIO DE BORBA/AM</t>
  </si>
  <si>
    <t>19.921.161/0001-00</t>
  </si>
  <si>
    <t>26/03/2025 A 26/03/2026</t>
  </si>
  <si>
    <t xml:space="preserve">R DA S FERNANDES SERVICOS                                               </t>
  </si>
  <si>
    <t>056/2025</t>
  </si>
  <si>
    <t>CONTRATO ADMINISTRATIVO No. 056/2025</t>
  </si>
  <si>
    <t>RUTH DA SILVA FERNANDES</t>
  </si>
  <si>
    <t>92 985896108 </t>
  </si>
  <si>
    <t>RSFSERVICOS1@GMAIL.COM</t>
  </si>
  <si>
    <t xml:space="preserve">EVENTUAL CONTRATAÇÃO DE EMPRESA ESPECIALIZADA NA PRESTAÇÃO DE SERVIÇOS DE DEDETIZAÇÃO E DESCUPINIZAÇÃO </t>
  </si>
  <si>
    <t>42.527.522/0001-96,</t>
  </si>
  <si>
    <t>09/04/2025 A 09/04/2026</t>
  </si>
  <si>
    <t>A B ADORNO</t>
  </si>
  <si>
    <t>102/2025</t>
  </si>
  <si>
    <t>CONTRATO ADMINISTRATIVO  No 0102/2025 - PMB</t>
  </si>
  <si>
    <t>José Gracely Góes Graça,</t>
  </si>
  <si>
    <t>(92) 99345-5512</t>
  </si>
  <si>
    <t>coftalmus@gmail.com</t>
  </si>
  <si>
    <t>CONTRATAÇÃO DE EMPRESA PARA REALIZAÇÃO DE CONSULTAS E CURURGIAS OFTALMOLÓGICAS DE INTERRESSE DA SECRETARIA DE SAÚDE DO MUNICÍPIO DE BORBA-AM, na forma do procedimento de adesão a ata de registro de preços, de acorde com o art. 86, § 2º da lei federal 14.133/2021.</t>
  </si>
  <si>
    <t>46.377.607/0001-96</t>
  </si>
  <si>
    <t xml:space="preserve">SELF BRASIL SOLUÇÕES LTDA                                                          </t>
  </si>
  <si>
    <t>107/2025</t>
  </si>
  <si>
    <t>(92) 98121-3091</t>
  </si>
  <si>
    <t>selfbrasillicitacao@gmail.com, de</t>
  </si>
  <si>
    <t>EVENTUAL CONTRATAÇÃO DE EMPRESA ESPECIALIZADA NA PRESTAÇÃO DO SERVIÇO DE MANUTENÇAO PREVENTIVA E CORRETIVA EM APARELHOS CONDICIONADORES DE AR TIPO: SPLIT, VRF, FRIGOBAR, GELADEIRA E BEBEDOURO (LINHA BRANCA).</t>
  </si>
  <si>
    <t>SEMAP/SEMED/SEMASDHS/SEMSA</t>
  </si>
  <si>
    <t>FL SHELF REPRESENTANTES COMERCIAIS E AGENTES DO COMERCIO DE MERCADORIAS LTDA</t>
  </si>
  <si>
    <t>109/2025</t>
  </si>
  <si>
    <t>EVENTUAL FORNECIMENTO DE MEDICAMENTO, de 
interesse da Secretaria Municipal de Saúde do Município de Borba/AM.</t>
  </si>
  <si>
    <t>21..628.686/0001-30,</t>
  </si>
  <si>
    <t>VIA OLIVEIRA DA AMAZONIA</t>
  </si>
  <si>
    <t>111/2025</t>
  </si>
  <si>
    <t>CONTRATO ADMINISTRATIVO No 111/2025-PMB</t>
  </si>
  <si>
    <t>VIA OLIVEIRA DA AMAZONIA - CNPJ:11.762.811/0001-46</t>
  </si>
  <si>
    <t>(92) 99605-8963</t>
  </si>
  <si>
    <t> viaoliveira7@gmail.com</t>
  </si>
  <si>
    <t>FUTURA E EVENTUAL AQUISIÇÃO DE BRINQUEDOS LÚDICOS DE INTERESSE DA SECRETARIA MUNICIPAL DE ASSISTÊNCIA SOCIAL E SECRETARIA MUNICIPAL DE EDUCAÇÃO.</t>
  </si>
  <si>
    <t>11.762.811/0001-46</t>
  </si>
  <si>
    <t>017/2025</t>
  </si>
  <si>
    <t xml:space="preserve">I. A. BRICIO DE SA LTDA                                                </t>
  </si>
  <si>
    <t>CONTRATO ADMINISTRATIVO No 001/2025</t>
  </si>
  <si>
    <t>INES ACUCENA BRICIO DE SÁ</t>
  </si>
  <si>
    <t>(92) 8546-5870</t>
  </si>
  <si>
    <t>ielcomercioeservcos@gmail.com</t>
  </si>
  <si>
    <t>AQUISIÇÃO DE MATERIAL DE CONSUMO, CONFORME CONDIÇÕES, QUANTIDADES E EXIGÊNCIAS ESTABELECIDAS NESTE INSTRUMENTO PARA ATENDER A NECESSIDADE DA PREFEITURA MUNICIPAL DE BORBA-AMAZONAS</t>
  </si>
  <si>
    <t>53.383.801/0001-40</t>
  </si>
  <si>
    <t>04/02/2025 A 04/08/2025</t>
  </si>
  <si>
    <t xml:space="preserve">SAFE DIGITAL CERTIFICADOS DIGITAIS LTDA </t>
  </si>
  <si>
    <t>CONTRATO ADMINISTRATIVO No 002/2025</t>
  </si>
  <si>
    <t>SHIGEO MONTEIRO KIMURA</t>
  </si>
  <si>
    <t>(92) 3085-0350 / (92) 8429-4014</t>
  </si>
  <si>
    <t>contatos.servicos@gmail.com</t>
  </si>
  <si>
    <t>AQUISIÇÃO DE MATERIAL DE INFORMÁTICA , CONFORME CONDIÇÕES, QUANTIDADES E
EXIGÊNCIAS ESTABELECIDAS NESTE INSTRUMENTO PARA ATENDER A NECESSIDADE DA
PREFEITURA MUNICIPAL DE BORBA-AMAZONAS</t>
  </si>
  <si>
    <t>07.972.486/0001-79</t>
  </si>
  <si>
    <t>28/02/2025 A 28/08/2025</t>
  </si>
  <si>
    <t xml:space="preserve">J F EMPREENDIMENTOS E CONSTRUCOES LTDA </t>
  </si>
  <si>
    <t>CONTRATO ADMINISTRATIVO No 003/2025</t>
  </si>
  <si>
    <t>JOSUE FEIJAO DA SILVA</t>
  </si>
  <si>
    <t>SERVIÇOS DE LOCAÇÃO DE MAQUINAS PESADAS PARA OBRAS DE ENGENHARIA, AFIM DE ATENDER AS NECESSIDADES DA PREFEITURA MUNICIPAL DE BORBA</t>
  </si>
  <si>
    <t>06/02/2025 A 06/05/2026</t>
  </si>
  <si>
    <t>RSM - COMERCIO E SERVICOS</t>
  </si>
  <si>
    <t>CONTRATO ADMINISTRATIVO No 0011/2025</t>
  </si>
  <si>
    <t xml:space="preserve">RAQUEL S DA SILVA       </t>
  </si>
  <si>
    <t xml:space="preserve">AQUISIÇÃO DE MATERIAIS DE CONSUMO DE INFORMÁTICA PARA ATENDER AS NECESSIDADES DA PREFEITURA MUNICIPAL DE BORBA </t>
  </si>
  <si>
    <t>47.916.691/0001-31</t>
  </si>
  <si>
    <t>SEMSA/SEMED</t>
  </si>
  <si>
    <t>06/02/2025 A 07/04/2025</t>
  </si>
  <si>
    <t xml:space="preserve">M. L. SOARES </t>
  </si>
  <si>
    <t>CONTRATO ADMINISTRATIVO No 017/2025</t>
  </si>
  <si>
    <t>MANOEL LEITE SOARES,</t>
  </si>
  <si>
    <t>(92) 3571-1481</t>
  </si>
  <si>
    <t>mlsoares.itacoatiara@gmail.com</t>
  </si>
  <si>
    <t xml:space="preserve">AQUISIÇAO COMBUSTÍVEL E GÁS CONFORME ESPECIFICAÇÃO E QUANTIDADES , PARA ATENDER ÀS DEMANDAS DA PREFEITURA MUNICIPAL DE BORBA </t>
  </si>
  <si>
    <t>14.190.391/0002</t>
  </si>
  <si>
    <t>03/04/2025 A 03/05/2025</t>
  </si>
  <si>
    <t>B V R SERVICO FUNERAL LTDA</t>
  </si>
  <si>
    <t>CONTRATO ADMINISTRATIVO No 018/2025</t>
  </si>
  <si>
    <t>VITOR HUGO VIANA VIANA</t>
  </si>
  <si>
    <t>(92) 9198-1323</t>
  </si>
  <si>
    <t>CRISVVIANA@HOTMAIL.COM</t>
  </si>
  <si>
    <t>CONTRATAÇÃO DE EMPRESA ESPECIALIZADA PARA FORNECIMENTO DE URNAS FUNERÁRIAS E PRESTAÇÃO DE SERVIÇOS FUNERÁRIOS, VISANDO ATENDER AS NECESSIDADES DA SECRETARIA  DE ASSISTÊNCIA SOCIAL DO MUNICIPIO DE BORBA/AM</t>
  </si>
  <si>
    <t>29.313.440/0001-80,</t>
  </si>
  <si>
    <t>SEMAS</t>
  </si>
  <si>
    <t>AEP369 COMERCIO DE MATERIAS-EPP                             CNPJ.: 20.307.788/0001-90                                              ADRIANA CONCEICAO BATISTA LTDA                  CNPJ.: 34.802.063/0001-83</t>
  </si>
  <si>
    <t>CONTRATO ADMINISTRATIVO No 019/2025</t>
  </si>
  <si>
    <t>MAYRA CRISTINA QUEIROZ LAAN                                        / ADRIANA CONCEICAO BATISTA,</t>
  </si>
  <si>
    <t>(92) 3325-8747</t>
  </si>
  <si>
    <t>abcomercioeireli@gmail.com</t>
  </si>
  <si>
    <t>CONTRATAÇÃO DE EMPRESA ESPECIALIZADA PARA FORNECIMENTO DE MATERIAL DE CONSTRUÇÃO PARA O MUNICIPIO  DE BORBA/AM</t>
  </si>
  <si>
    <t>20.307.788/0001-90,</t>
  </si>
  <si>
    <t>19/02/2025 A 19/005/2025</t>
  </si>
  <si>
    <t xml:space="preserve">                                    ADRIANA CONCEICAO BATISTA LTDA                  CNPJ.: 34.802.063/0001-83</t>
  </si>
  <si>
    <t xml:space="preserve">G. T. DE SA LTDA                                            </t>
  </si>
  <si>
    <t>022/2025</t>
  </si>
  <si>
    <t>CONTRATO ADMINISTRATIVO No 022/2025</t>
  </si>
  <si>
    <t>GILSON TEIXEIRA DE AS</t>
  </si>
  <si>
    <t>(92) 8825-6930</t>
  </si>
  <si>
    <t>financeirogtnavegacao@gmail.com</t>
  </si>
  <si>
    <t xml:space="preserve">SERVIÇOS  DE TRANSPORTE ESCOLAR  PARA ATENDER EMERGENCIALMENTE OS  ALUNOS MATRICULADOS NA REDE DE ENSINO PÚBLICO MUNICIPAL  DE BORBA/AM NO PERIODO DE 90  (NOVENTA) DIAS </t>
  </si>
  <si>
    <t>44.867.354/0001-03</t>
  </si>
  <si>
    <t>17/03/2025 A 17/06/2025</t>
  </si>
  <si>
    <t xml:space="preserve">FELIPE G DA SILVA        </t>
  </si>
  <si>
    <t>028/2025</t>
  </si>
  <si>
    <t>CONTRATO ADMINISTRATIVO No 028/2025</t>
  </si>
  <si>
    <t>FELIE GRAÇA DA SILVA</t>
  </si>
  <si>
    <t>(92) 8823-8581</t>
  </si>
  <si>
    <t>informaticatca@gmail.com</t>
  </si>
  <si>
    <t>CONTRATAÇÃO DE EMPRESA ESPECIALIZADA PARA TRANSPORTE FLUVIAL  PARA ATENDER AS NECESSIDADES  ADMINISTRAÇÃO PÚBLICA DO MUNICÍPIO DE BORBA/AM</t>
  </si>
  <si>
    <t>SEMED/SEMAS/SEMAP</t>
  </si>
  <si>
    <t>URUS LTDA / USINA DE IIDEIAS</t>
  </si>
  <si>
    <t>036/2025</t>
  </si>
  <si>
    <t>CONTRATO ADMINISTRATIVO No 0036/2025,</t>
  </si>
  <si>
    <t>RODRIGO VITAL RODRIGUES</t>
  </si>
  <si>
    <t>(92) 9279-9983</t>
  </si>
  <si>
    <t xml:space="preserve">rvrodrigues.eireli@gmail.com
</t>
  </si>
  <si>
    <t xml:space="preserve">AQUISIÇÃO DEDE  MATERIAL DE  EXPENDIENTE  , CONFORME CONDIÇÕES, QUANTIDADES E EXIGÊNCIAS ESTABELECIDAS NESTE INSTRUMENTO PARA ATENDER A NECESSIDADE DA SECRETÁRIA DE SAUDE, EDUCAÇÃO E SECRETARIA DE ADMINISTRAÇÃO DA  PREFEITURA MUNICIPAL DE BORBA-AMAZONAS </t>
  </si>
  <si>
    <t>41.757.331/0001-58</t>
  </si>
  <si>
    <t>SEMAP / SEMED</t>
  </si>
  <si>
    <t xml:space="preserve">MULTI SERVICE ADMISTRATIVO LTDA /                                              STICKER LTDA </t>
  </si>
  <si>
    <t>037/2025</t>
  </si>
  <si>
    <t>CONTRATO ADMINISTRATIVO No 037/2025</t>
  </si>
  <si>
    <t>FABRICIO DA
SILVA CARDOSO /                                                     VERONICA VITAL RODRIGUES</t>
  </si>
  <si>
    <t>(92) 9259-9441 /          (92) 9500-8324</t>
  </si>
  <si>
    <t>contatoallserviceltda@gmail.com / pedroemarialocacoes@gmail.com</t>
  </si>
  <si>
    <t>AQUISIÇÃO DE MATERIAL DE GÊNEROS ALIMENTÍCIOS, CONFORME CONDIÇÕES, QUANTIDADES E EXIGÊNCIAS ESTABELECIDAS NESTE INSTRUMENTO PARA ATENDER A NECESSIDADE DA SECRETÁRIA DE SAUDEV E ADMINISTRAÇÃO PREFEITURA MUNICIPAL DE BORBA-AMAZONAS S/EFEITO</t>
  </si>
  <si>
    <t xml:space="preserve">35.915.118/0001-24  - 31.771.075/0001-08 </t>
  </si>
  <si>
    <t>19/02/2025 A 19/005/2026</t>
  </si>
  <si>
    <t>H. DA S. PEREIRA LTDA - FIBERNET</t>
  </si>
  <si>
    <t>038/2025</t>
  </si>
  <si>
    <t>(92) 8618-7891</t>
  </si>
  <si>
    <t>linknetprovedor31@gmail.com</t>
  </si>
  <si>
    <t xml:space="preserve">CONTRATAÇÃO DE EMPRESA PARA FORNECIMENTO DE INTERNET PARA ATENDER OS DEPARTAMENTOS DO MUNICIPIO DE BORBA/AM </t>
  </si>
  <si>
    <t xml:space="preserve">L. B. CETAURO LTDA                                                                                                   </t>
  </si>
  <si>
    <t>039/2025</t>
  </si>
  <si>
    <t xml:space="preserve">L. B. CETAURO LTDA   </t>
  </si>
  <si>
    <t>(92) 8492-7573 / (92) 9333-6879</t>
  </si>
  <si>
    <t>victorsouza.vs1994@gmail.com</t>
  </si>
  <si>
    <t>AQUISIÇÃO DE GÊNEROS ALIMENTÍCIOS DESTINADOS A MERENDA ESCOLAR   PARA O ANO LETIVO DE 2025 DO MUNICIPIO DE BORBA/AM, NO PERIODO DE 90  (NOVENTA) DIAS PARA ATENDER EMERGENCIALMENTE OS ALUNOS DA REDE MUNICIPAL DE ENSINO</t>
  </si>
  <si>
    <t>18/03/2025 A 18/06/2025</t>
  </si>
  <si>
    <t xml:space="preserve">FENMOV INDUSTRIA E COMERCIO DE MOVEIS E EQUIPAMENTOS </t>
  </si>
  <si>
    <t>050/2025</t>
  </si>
  <si>
    <t>CONTRATO ADMINISTRATIVO No 050/2025</t>
  </si>
  <si>
    <t>EVERALDO JOSE RODRIGUES PEDROSO</t>
  </si>
  <si>
    <t>(92) 9438-9634</t>
  </si>
  <si>
    <t>fenmov@gmail.com</t>
  </si>
  <si>
    <t xml:space="preserve">AQUISIÇÃO DE MOBILIÁRIO ESCOLAR (CONJUNTO PARA
REFEITÓRIO, MESAS E CADEIRAS), DESTINADOS AS ESCOLAS DO MUNICÍPIO DE BORBA POR  MEIO DA SECRETARIA MUNICIPAL DE EDUCAÇÃO </t>
  </si>
  <si>
    <t>04.449.252/0001-53</t>
  </si>
  <si>
    <t>17/03/2025 A 07/04/2025</t>
  </si>
  <si>
    <t xml:space="preserve">W.M TEIXEIRA LTDA  </t>
  </si>
  <si>
    <t>CONTRATO ADMINISTRATIVO No 054/2025</t>
  </si>
  <si>
    <t>WESLEN MASCARENHAS TEIXEIRA</t>
  </si>
  <si>
    <t>(92) 8432-8291 </t>
  </si>
  <si>
    <t>njconsultoria07@gmail.com</t>
  </si>
  <si>
    <t>09/03/2025 A 08/06/2025</t>
  </si>
  <si>
    <t xml:space="preserve">P.A VILACA NETO </t>
  </si>
  <si>
    <t>065/2025</t>
  </si>
  <si>
    <t>CONTRATO ADMINISTRATIVO No 065/2025</t>
  </si>
  <si>
    <t>(92) 9273-5161 / (92) 3663-1692</t>
  </si>
  <si>
    <t>nonator1@hotmail.com</t>
  </si>
  <si>
    <t>AQUISIÇÃO DE PEIXES PARA REALIZAÇÃO DE ENTREGAS NA SEMANA SANTA DESTINADOS AS FAMÍLIAS ATENDIDAS PELOS PROGRAMAS E SERVIÇOS DA SECRETARIA DE ASSISTÊNCIA SOCIAL NO MUNICÍPIO DE BORBA/AM.</t>
  </si>
  <si>
    <t>02.704.436/0001-97</t>
  </si>
  <si>
    <t>BERNARDINO IMPRESSAO E SERVIÇOS DE SINALIZAÇÃO E PRODUÇÕES LTDA                                                                                               CNPJ: 32.917.006/0001-14</t>
  </si>
  <si>
    <t>067/2025</t>
  </si>
  <si>
    <t>CONTRATO ADMINISTRATIVO No 067/2025</t>
  </si>
  <si>
    <t xml:space="preserve">BERNARDINO IMPRESSAO E SERVIÇOS DE SINALIZAÇÃO E PRODUÇÕES LTDA </t>
  </si>
  <si>
    <t>(92) 9171-4455 / (92) 9171-4455</t>
  </si>
  <si>
    <t>alvarobernardino1@gmail.com</t>
  </si>
  <si>
    <t>CONTRATAÇÃO DE EMPRESA ESPECIALIZADA PARA FORNECIMENTO DE MATERIAIS DIVERSOS PARA REALIZAÇÃO DO EVENTO “MISS BORBA 2025”</t>
  </si>
  <si>
    <t>32.917.006/0001-14</t>
  </si>
  <si>
    <t xml:space="preserve">EXITO MEDICAL LTDA                                      </t>
  </si>
  <si>
    <t>068/2025</t>
  </si>
  <si>
    <t>CONTRATO ADMINISTRATIVO No 068/2025</t>
  </si>
  <si>
    <t>BRUNA MARIA SILVA RAMOS</t>
  </si>
  <si>
    <t>(92) 8492-2968</t>
  </si>
  <si>
    <t>exitomedical2022@gmail.com</t>
  </si>
  <si>
    <t xml:space="preserve">AQUISIÇÃO DE MATERIAL PERMANENTE - EQUIPAMENTOS HOSPITALARES, COM A FINALIDADE DE ATENDER AS DEMANDAS DA SECRETARIA DE SAÚDE POR MEIO DA PREFEITURA MUNICIPAL DE BORBA, CONFORME CONDIÇÕES, QUANTIDADES, EXIGÊNCIAS E ESTIMATIVAS ESTABELECIDAS NESTE TERMO. </t>
  </si>
  <si>
    <t>48.138.567/0001-57</t>
  </si>
  <si>
    <t>AMAZONAS COMERCIO VAREJISTA DE
ACESSORIOS MILITARES LTDA</t>
  </si>
  <si>
    <t>CONTRATO ADMINISTRATIVO No 083/2025</t>
  </si>
  <si>
    <t xml:space="preserve">AMZ TÁTICOS 
</t>
  </si>
  <si>
    <t>(92) 3641-1230</t>
  </si>
  <si>
    <t>amazonasequipamentos@gmail.com</t>
  </si>
  <si>
    <t>11.588.322.0001/10</t>
  </si>
  <si>
    <t>SEMAP / SEMSP</t>
  </si>
  <si>
    <t>GM COMERCIO DE MOVÉIS LTDA</t>
  </si>
  <si>
    <t>085/2025</t>
  </si>
  <si>
    <t>CONTRATO ADMINISTRATIVO No 085/2025</t>
  </si>
  <si>
    <t>ANTONIO
CARLOS SOUSA COSTA</t>
  </si>
  <si>
    <t>(91) 3259-9475</t>
  </si>
  <si>
    <t>sousacostacomercial@gmail.com</t>
  </si>
  <si>
    <t>DEFESA CIVIL : CONTRATAÇÃO EMERGENCIAL, COM FUNDAMENTO NO ART. 75, INCISO VIII, DA LEI Nº 14.133/2021, PARA ATENDER À SITUAÇÃO DE CALAMIDADE PÚBLICA RECONHECIDA, VISANDO À EXECUÇÃO DE AÇÕES DE RESPOSTA E ASSISTÊNCIA HUMANITÁRIA NO ÂMBITO DA DEFESA CIVIL, MEDIANTE A TRANSFERÊNCIA DE RECURSOS, DESTINADOS À AQUISIÇÃO DE BENS ESSENCIAIS PARA MITIGAÇÃO DOS DANOS E RESTABELECIMENTO DAS CONDIÇÕES MÍNIMAS DE NORMALIDADE NO MUNICÍPIO.</t>
  </si>
  <si>
    <t>52.205.164/0001-59</t>
  </si>
  <si>
    <t>DEZ/202545931</t>
  </si>
  <si>
    <t>11/06/2025 A 08/12/2025</t>
  </si>
  <si>
    <t xml:space="preserve">HF BRASIL LTDA </t>
  </si>
  <si>
    <t>CONTRATO ADMINISTRATIVO No 090/2025</t>
  </si>
  <si>
    <t>FRANK LUIZ QUEIROZ DA FROTA</t>
  </si>
  <si>
    <t>(92) 9278-4065</t>
  </si>
  <si>
    <t>licitacoeshfbrasil@gmail.com</t>
  </si>
  <si>
    <t xml:space="preserve">DEFESA CIVIL 2 : CONTRATAÇÃO EMERGENCIAL, COM FUNDAMENTO NO ART. 75, INCISO VIII, DA LEI Nº 14.133/2021, PARA ATENDER À SITUAÇÃO DE CALAMIDADE PÚBLICA RECONHECIDA, VISANDO À EXECUÇÃO DE AÇÕES DE RESPOSTA E ASSISTÊNCIA HUMANITÁRIA NO ÂMBITO DA DEFESA CIVIL, MEDIANTE A TRANSFERÊNCIA DE RECURSOS, DESTINADOS À AQUISIÇÃO DE BENS ESSENCIAIS PARA MITIGAÇÃO DOS DANOS E RESTABELECIMENTO DAS CONDIÇÕES MÍNIMAS DE NORMALIDADE NO MUNICÍPIO.
</t>
  </si>
  <si>
    <t>SEMASDESH</t>
  </si>
  <si>
    <t>30/07/2025 A 26/01/2026</t>
  </si>
  <si>
    <t>PV AXINIM (CONVENIO)</t>
  </si>
  <si>
    <t>PV CANUMA(CONVENIO)</t>
  </si>
  <si>
    <t>QUADRA</t>
  </si>
  <si>
    <t>ESCOLA JUTAI</t>
  </si>
  <si>
    <t>Nº</t>
  </si>
  <si>
    <t>DOCS PRESENTES</t>
  </si>
  <si>
    <t>O QUE FALTA</t>
  </si>
  <si>
    <t xml:space="preserve">     G. T. DE SA LTDA                                            </t>
  </si>
  <si>
    <t xml:space="preserve"> </t>
  </si>
  <si>
    <t xml:space="preserve">SRP 021/2025 -TA I AEREO VALE DO MADEIRA LTDA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</si>
</sst>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R$&quot;\ #,##0.00;[Red]\-&quot;R$&quot;\ #,##0.00"/>
    <numFmt numFmtId="164" formatCode="mm/dd/yy"/>
    <numFmt numFmtId="165" formatCode="[$R$-416]\ #,##0.00;[Red]\-[$R$-416]\ #,##0.00"/>
    <numFmt numFmtId="166" formatCode="&quot;R$ &quot;#,##0.00"/>
    <numFmt numFmtId="167" formatCode="_-&quot;R$&quot;\ * #,##0.00_-;\-&quot;R$&quot;\ * #,##0.00_-;_-&quot;R$&quot;\ * &quot;-&quot;??_-;_-@"/>
  </numFmts>
  <fonts count="31" x14ac:knownFonts="1">
    <font>
      <sz val="10"/>
      <color rgb="FF000000"/>
      <name val="Arial"/>
      <scheme val="minor"/>
    </font>
    <font>
      <sz val="11"/>
      <color theme="1"/>
      <name val="Inconsolata"/>
    </font>
    <font>
      <sz val="10"/>
      <name val="Arial"/>
    </font>
    <font>
      <b/>
      <sz val="10"/>
      <color theme="1"/>
      <name val="Inconsolata"/>
    </font>
    <font>
      <sz val="11"/>
      <color rgb="FF000000"/>
      <name val="Inconsolata"/>
    </font>
    <font>
      <b/>
      <sz val="12"/>
      <color rgb="FF000000"/>
      <name val="Inconsolata"/>
    </font>
    <font>
      <u/>
      <sz val="11"/>
      <color rgb="FF0000FF"/>
      <name val="Inconsolata"/>
    </font>
    <font>
      <sz val="10"/>
      <color theme="1"/>
      <name val="Inconsolata"/>
    </font>
    <font>
      <sz val="11"/>
      <color rgb="FFFF0000"/>
      <name val="Inconsolata"/>
    </font>
    <font>
      <sz val="11"/>
      <color rgb="FFC9211E"/>
      <name val="Inconsolata"/>
    </font>
    <font>
      <sz val="11"/>
      <color rgb="FFFFFFFF"/>
      <name val="Inconsolata"/>
    </font>
    <font>
      <sz val="11"/>
      <color rgb="FFBF0041"/>
      <name val="Inconsolata"/>
    </font>
    <font>
      <b/>
      <sz val="11"/>
      <color theme="1"/>
      <name val="Inconsolata"/>
    </font>
    <font>
      <b/>
      <u/>
      <sz val="11"/>
      <color theme="1"/>
      <name val="Inconsolata"/>
    </font>
    <font>
      <b/>
      <sz val="11"/>
      <color rgb="FF000000"/>
      <name val="Inconsolata"/>
    </font>
    <font>
      <u/>
      <sz val="11"/>
      <color theme="1"/>
      <name val="Inconsolata"/>
    </font>
    <font>
      <u/>
      <sz val="11"/>
      <color theme="10"/>
      <name val="Inconsolata"/>
    </font>
    <font>
      <sz val="11"/>
      <color rgb="FFC8201D"/>
      <name val="Inconsolata"/>
    </font>
    <font>
      <sz val="11"/>
      <color theme="10"/>
      <name val="Inconsolata"/>
    </font>
    <font>
      <sz val="10"/>
      <color theme="1"/>
      <name val="Arial"/>
    </font>
    <font>
      <sz val="16"/>
      <color theme="1"/>
      <name val="Arial"/>
    </font>
    <font>
      <sz val="10"/>
      <color rgb="FF000000"/>
      <name val="Arial"/>
    </font>
    <font>
      <b/>
      <sz val="12"/>
      <color theme="1"/>
      <name val="Arial"/>
    </font>
    <font>
      <b/>
      <sz val="10"/>
      <color theme="1"/>
      <name val="Arial"/>
    </font>
    <font>
      <b/>
      <sz val="12"/>
      <color rgb="FF000000"/>
      <name val="Arial"/>
    </font>
    <font>
      <b/>
      <sz val="11"/>
      <color rgb="FF000000"/>
      <name val="Arial"/>
    </font>
    <font>
      <b/>
      <sz val="11"/>
      <color theme="1"/>
      <name val="Arial"/>
    </font>
    <font>
      <sz val="11"/>
      <color theme="1"/>
      <name val="Arial"/>
    </font>
    <font>
      <u/>
      <sz val="10"/>
      <color rgb="FF000000"/>
      <name val="Arial"/>
    </font>
    <font>
      <sz val="12"/>
      <color rgb="FFFFFFFF"/>
      <name val="Arial"/>
    </font>
    <font>
      <sz val="10"/>
      <color rgb="FFFFFFFF"/>
      <name val="Arial"/>
    </font>
  </fonts>
  <fills count="1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93C47D"/>
        <bgColor rgb="FF93C47D"/>
      </patternFill>
    </fill>
    <fill>
      <patternFill patternType="solid">
        <fgColor rgb="FF0000FF"/>
        <bgColor rgb="FF0000FF"/>
      </patternFill>
    </fill>
    <fill>
      <patternFill patternType="solid">
        <fgColor rgb="FFC27BA0"/>
        <bgColor rgb="FFC27BA0"/>
      </patternFill>
    </fill>
    <fill>
      <patternFill patternType="solid">
        <fgColor rgb="FFBF9000"/>
        <bgColor rgb="FFBF9000"/>
      </patternFill>
    </fill>
    <fill>
      <patternFill patternType="solid">
        <fgColor rgb="FFCC0000"/>
        <bgColor rgb="FFCC0000"/>
      </patternFill>
    </fill>
    <fill>
      <patternFill patternType="solid">
        <fgColor rgb="FFC00000"/>
        <bgColor rgb="FFC00000"/>
      </patternFill>
    </fill>
    <fill>
      <patternFill patternType="solid">
        <fgColor rgb="FF073763"/>
        <bgColor rgb="FF073763"/>
      </patternFill>
    </fill>
    <fill>
      <patternFill patternType="solid">
        <fgColor rgb="FFFF0000"/>
        <bgColor rgb="FFFF0000"/>
      </patternFill>
    </fill>
    <fill>
      <patternFill patternType="solid">
        <fgColor rgb="FFD5A6BD"/>
        <bgColor rgb="FFD5A6BD"/>
      </patternFill>
    </fill>
    <fill>
      <patternFill patternType="solid">
        <fgColor rgb="FFD99594"/>
        <bgColor rgb="FFD99594"/>
      </patternFill>
    </fill>
    <fill>
      <patternFill patternType="solid">
        <fgColor rgb="FFB2A1C7"/>
        <bgColor rgb="FFB2A1C7"/>
      </patternFill>
    </fill>
    <fill>
      <patternFill patternType="solid">
        <fgColor theme="5"/>
        <bgColor theme="5"/>
      </patternFill>
    </fill>
    <fill>
      <patternFill patternType="solid">
        <fgColor rgb="FF366092"/>
        <bgColor rgb="FF366092"/>
      </patternFill>
    </fill>
    <fill>
      <patternFill patternType="solid">
        <fgColor rgb="FF000000"/>
        <bgColor rgb="FF000000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</borders>
  <cellStyleXfs count="1">
    <xf numFmtId="0" fontId="0" fillId="0" borderId="0"/>
  </cellStyleXfs>
  <cellXfs count="119">
    <xf numFmtId="0" fontId="0" fillId="0" borderId="0" xfId="0"/>
    <xf numFmtId="0" fontId="3" fillId="2" borderId="2" xfId="0" applyFont="1" applyFill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center" vertical="center" wrapText="1"/>
    </xf>
    <xf numFmtId="164" fontId="1" fillId="0" borderId="3" xfId="0" applyNumberFormat="1" applyFont="1" applyBorder="1" applyAlignment="1">
      <alignment horizontal="center" vertical="center" wrapText="1"/>
    </xf>
    <xf numFmtId="165" fontId="1" fillId="0" borderId="3" xfId="0" applyNumberFormat="1" applyFont="1" applyBorder="1" applyAlignment="1">
      <alignment horizontal="center" vertical="center" wrapText="1"/>
    </xf>
    <xf numFmtId="0" fontId="7" fillId="0" borderId="3" xfId="0" applyFont="1" applyBorder="1"/>
    <xf numFmtId="0" fontId="5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4" fillId="4" borderId="3" xfId="0" applyFont="1" applyFill="1" applyBorder="1" applyAlignment="1">
      <alignment horizontal="left" vertical="center" wrapText="1"/>
    </xf>
    <xf numFmtId="165" fontId="9" fillId="0" borderId="3" xfId="0" applyNumberFormat="1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4" fillId="5" borderId="3" xfId="0" applyFont="1" applyFill="1" applyBorder="1" applyAlignment="1">
      <alignment horizontal="left" vertical="center" wrapText="1"/>
    </xf>
    <xf numFmtId="0" fontId="10" fillId="6" borderId="3" xfId="0" applyFont="1" applyFill="1" applyBorder="1" applyAlignment="1">
      <alignment horizontal="left" vertical="center" wrapText="1"/>
    </xf>
    <xf numFmtId="165" fontId="1" fillId="0" borderId="5" xfId="0" applyNumberFormat="1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/>
    </xf>
    <xf numFmtId="0" fontId="4" fillId="0" borderId="6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center" vertical="center" wrapText="1"/>
    </xf>
    <xf numFmtId="165" fontId="12" fillId="0" borderId="3" xfId="0" applyNumberFormat="1" applyFont="1" applyBorder="1" applyAlignment="1">
      <alignment horizontal="center" vertical="center" wrapText="1"/>
    </xf>
    <xf numFmtId="0" fontId="13" fillId="0" borderId="3" xfId="0" applyFont="1" applyBorder="1" applyAlignment="1">
      <alignment horizontal="left" vertical="center" wrapText="1"/>
    </xf>
    <xf numFmtId="0" fontId="4" fillId="7" borderId="6" xfId="0" applyFont="1" applyFill="1" applyBorder="1" applyAlignment="1">
      <alignment horizontal="left" vertical="center" wrapText="1"/>
    </xf>
    <xf numFmtId="0" fontId="4" fillId="8" borderId="3" xfId="0" applyFont="1" applyFill="1" applyBorder="1" applyAlignment="1">
      <alignment horizontal="left" vertical="center" wrapText="1"/>
    </xf>
    <xf numFmtId="0" fontId="14" fillId="0" borderId="3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165" fontId="4" fillId="0" borderId="3" xfId="0" applyNumberFormat="1" applyFont="1" applyBorder="1" applyAlignment="1">
      <alignment horizontal="center" vertical="center" wrapText="1"/>
    </xf>
    <xf numFmtId="0" fontId="10" fillId="9" borderId="3" xfId="0" applyFont="1" applyFill="1" applyBorder="1" applyAlignment="1">
      <alignment horizontal="left" vertical="top" wrapText="1"/>
    </xf>
    <xf numFmtId="0" fontId="8" fillId="0" borderId="3" xfId="0" applyFont="1" applyBorder="1" applyAlignment="1">
      <alignment horizontal="left" vertical="center" wrapText="1"/>
    </xf>
    <xf numFmtId="0" fontId="16" fillId="0" borderId="3" xfId="0" applyFont="1" applyBorder="1" applyAlignment="1">
      <alignment horizontal="center" vertical="center" wrapText="1"/>
    </xf>
    <xf numFmtId="165" fontId="17" fillId="0" borderId="3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/>
    </xf>
    <xf numFmtId="0" fontId="10" fillId="10" borderId="3" xfId="0" applyFont="1" applyFill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top" wrapText="1"/>
    </xf>
    <xf numFmtId="165" fontId="8" fillId="0" borderId="3" xfId="0" applyNumberFormat="1" applyFont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/>
    </xf>
    <xf numFmtId="166" fontId="1" fillId="0" borderId="3" xfId="0" applyNumberFormat="1" applyFont="1" applyBorder="1" applyAlignment="1">
      <alignment horizontal="left" vertical="center" wrapText="1"/>
    </xf>
    <xf numFmtId="166" fontId="12" fillId="0" borderId="3" xfId="0" applyNumberFormat="1" applyFont="1" applyBorder="1" applyAlignment="1">
      <alignment horizontal="center" vertical="center" wrapText="1"/>
    </xf>
    <xf numFmtId="0" fontId="4" fillId="12" borderId="3" xfId="0" applyFont="1" applyFill="1" applyBorder="1" applyAlignment="1">
      <alignment horizontal="left" vertical="center" wrapText="1"/>
    </xf>
    <xf numFmtId="0" fontId="4" fillId="13" borderId="3" xfId="0" applyFont="1" applyFill="1" applyBorder="1" applyAlignment="1">
      <alignment horizontal="left" vertical="center" wrapText="1"/>
    </xf>
    <xf numFmtId="0" fontId="14" fillId="0" borderId="7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wrapText="1"/>
    </xf>
    <xf numFmtId="0" fontId="4" fillId="0" borderId="11" xfId="0" applyFont="1" applyBorder="1" applyAlignment="1">
      <alignment horizontal="left" vertical="center" wrapText="1"/>
    </xf>
    <xf numFmtId="17" fontId="1" fillId="0" borderId="3" xfId="0" applyNumberFormat="1" applyFont="1" applyBorder="1" applyAlignment="1">
      <alignment horizontal="center" vertical="center" wrapText="1"/>
    </xf>
    <xf numFmtId="4" fontId="1" fillId="0" borderId="3" xfId="0" applyNumberFormat="1" applyFont="1" applyBorder="1" applyAlignment="1">
      <alignment horizontal="center" vertical="center" wrapText="1"/>
    </xf>
    <xf numFmtId="0" fontId="4" fillId="14" borderId="3" xfId="0" applyFont="1" applyFill="1" applyBorder="1" applyAlignment="1">
      <alignment horizontal="left" vertical="center" wrapText="1"/>
    </xf>
    <xf numFmtId="167" fontId="1" fillId="0" borderId="3" xfId="0" applyNumberFormat="1" applyFont="1" applyBorder="1" applyAlignment="1">
      <alignment horizontal="center" vertical="center" wrapText="1"/>
    </xf>
    <xf numFmtId="8" fontId="1" fillId="0" borderId="3" xfId="0" applyNumberFormat="1" applyFont="1" applyBorder="1" applyAlignment="1">
      <alignment horizontal="center" vertical="center" wrapText="1"/>
    </xf>
    <xf numFmtId="8" fontId="4" fillId="0" borderId="0" xfId="0" applyNumberFormat="1" applyFont="1" applyAlignment="1">
      <alignment vertical="center" wrapText="1"/>
    </xf>
    <xf numFmtId="0" fontId="4" fillId="15" borderId="3" xfId="0" applyFont="1" applyFill="1" applyBorder="1" applyAlignment="1">
      <alignment horizontal="left" vertical="center" wrapText="1"/>
    </xf>
    <xf numFmtId="0" fontId="14" fillId="0" borderId="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2" fillId="0" borderId="3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167" fontId="14" fillId="0" borderId="3" xfId="0" applyNumberFormat="1" applyFont="1" applyBorder="1" applyAlignment="1">
      <alignment horizontal="center" vertical="center" wrapText="1"/>
    </xf>
    <xf numFmtId="0" fontId="1" fillId="0" borderId="3" xfId="0" quotePrefix="1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2" fillId="0" borderId="0" xfId="0" applyFont="1" applyAlignment="1">
      <alignment horizontal="left" vertical="center" wrapText="1"/>
    </xf>
    <xf numFmtId="0" fontId="19" fillId="0" borderId="1" xfId="0" applyFont="1" applyBorder="1" applyAlignment="1">
      <alignment horizontal="center" vertical="center" wrapText="1"/>
    </xf>
    <xf numFmtId="0" fontId="21" fillId="17" borderId="1" xfId="0" applyFont="1" applyFill="1" applyBorder="1"/>
    <xf numFmtId="0" fontId="22" fillId="0" borderId="1" xfId="0" applyFont="1" applyBorder="1" applyAlignment="1">
      <alignment horizontal="center" vertical="center" wrapText="1"/>
    </xf>
    <xf numFmtId="0" fontId="23" fillId="0" borderId="2" xfId="0" applyFont="1" applyBorder="1" applyAlignment="1">
      <alignment horizontal="center" vertical="center" wrapText="1"/>
    </xf>
    <xf numFmtId="0" fontId="23" fillId="0" borderId="2" xfId="0" applyFont="1" applyBorder="1" applyAlignment="1">
      <alignment horizontal="center" vertical="center"/>
    </xf>
    <xf numFmtId="0" fontId="23" fillId="0" borderId="14" xfId="0" applyFont="1" applyBorder="1" applyAlignment="1">
      <alignment horizontal="center" vertical="center" wrapText="1"/>
    </xf>
    <xf numFmtId="0" fontId="24" fillId="0" borderId="3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/>
    </xf>
    <xf numFmtId="0" fontId="21" fillId="0" borderId="3" xfId="0" applyFont="1" applyBorder="1"/>
    <xf numFmtId="0" fontId="24" fillId="0" borderId="6" xfId="0" applyFont="1" applyBorder="1" applyAlignment="1">
      <alignment horizontal="left" vertical="center" wrapText="1"/>
    </xf>
    <xf numFmtId="0" fontId="24" fillId="0" borderId="3" xfId="0" applyFont="1" applyBorder="1" applyAlignment="1">
      <alignment horizontal="left" vertical="center" wrapText="1"/>
    </xf>
    <xf numFmtId="0" fontId="24" fillId="0" borderId="6" xfId="0" applyFont="1" applyBorder="1" applyAlignment="1">
      <alignment horizontal="center" vertical="center" wrapText="1"/>
    </xf>
    <xf numFmtId="0" fontId="25" fillId="0" borderId="3" xfId="0" applyFont="1" applyBorder="1" applyAlignment="1">
      <alignment horizontal="center" vertical="center" wrapText="1"/>
    </xf>
    <xf numFmtId="0" fontId="25" fillId="0" borderId="6" xfId="0" applyFont="1" applyBorder="1" applyAlignment="1">
      <alignment horizontal="center" vertical="center" wrapText="1"/>
    </xf>
    <xf numFmtId="0" fontId="23" fillId="0" borderId="6" xfId="0" applyFont="1" applyBorder="1" applyAlignment="1">
      <alignment horizontal="center" vertical="center" wrapText="1"/>
    </xf>
    <xf numFmtId="0" fontId="26" fillId="0" borderId="3" xfId="0" applyFont="1" applyBorder="1" applyAlignment="1">
      <alignment horizontal="center" vertical="top" wrapText="1"/>
    </xf>
    <xf numFmtId="0" fontId="27" fillId="0" borderId="3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wrapText="1"/>
    </xf>
    <xf numFmtId="0" fontId="27" fillId="0" borderId="9" xfId="0" applyFont="1" applyBorder="1" applyAlignment="1">
      <alignment horizontal="center"/>
    </xf>
    <xf numFmtId="0" fontId="26" fillId="0" borderId="6" xfId="0" applyFont="1" applyBorder="1" applyAlignment="1">
      <alignment horizontal="center" vertical="top" wrapText="1"/>
    </xf>
    <xf numFmtId="0" fontId="25" fillId="0" borderId="3" xfId="0" applyFont="1" applyBorder="1" applyAlignment="1">
      <alignment horizontal="left" vertical="center" wrapText="1"/>
    </xf>
    <xf numFmtId="0" fontId="26" fillId="0" borderId="3" xfId="0" applyFont="1" applyBorder="1" applyAlignment="1">
      <alignment horizontal="center" vertical="top"/>
    </xf>
    <xf numFmtId="166" fontId="26" fillId="0" borderId="3" xfId="0" applyNumberFormat="1" applyFont="1" applyBorder="1" applyAlignment="1">
      <alignment horizontal="left" vertical="center" wrapText="1"/>
    </xf>
    <xf numFmtId="0" fontId="23" fillId="0" borderId="3" xfId="0" applyFont="1" applyBorder="1" applyAlignment="1">
      <alignment horizontal="center" vertical="center" wrapText="1"/>
    </xf>
    <xf numFmtId="0" fontId="25" fillId="0" borderId="8" xfId="0" applyFont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center" wrapText="1"/>
    </xf>
    <xf numFmtId="0" fontId="19" fillId="0" borderId="3" xfId="0" quotePrefix="1" applyFont="1" applyBorder="1" applyAlignment="1">
      <alignment horizontal="center" vertical="center"/>
    </xf>
    <xf numFmtId="0" fontId="28" fillId="0" borderId="0" xfId="0" applyFont="1"/>
    <xf numFmtId="0" fontId="29" fillId="18" borderId="3" xfId="0" applyFont="1" applyFill="1" applyBorder="1" applyAlignment="1">
      <alignment horizontal="center" vertical="center" wrapText="1"/>
    </xf>
    <xf numFmtId="0" fontId="30" fillId="0" borderId="3" xfId="0" applyFont="1" applyBorder="1" applyAlignment="1">
      <alignment horizontal="center" vertical="center"/>
    </xf>
    <xf numFmtId="0" fontId="30" fillId="0" borderId="3" xfId="0" applyFont="1" applyBorder="1" applyAlignment="1">
      <alignment horizontal="center" vertical="center" wrapText="1"/>
    </xf>
    <xf numFmtId="165" fontId="19" fillId="0" borderId="3" xfId="0" applyNumberFormat="1" applyFont="1" applyBorder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horizontal="center"/>
    </xf>
    <xf numFmtId="0" fontId="20" fillId="0" borderId="12" xfId="0" applyFont="1" applyBorder="1" applyAlignment="1">
      <alignment horizontal="center"/>
    </xf>
    <xf numFmtId="0" fontId="2" fillId="0" borderId="1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erico.leite@hotmail.com" TargetMode="External"/><Relationship Id="rId7" Type="http://schemas.openxmlformats.org/officeDocument/2006/relationships/hyperlink" Target="mailto:rvrodrigues.eireli@gmail.com%0a" TargetMode="External"/><Relationship Id="rId2" Type="http://schemas.openxmlformats.org/officeDocument/2006/relationships/hyperlink" Target="mailto:advocaciasaraiva81@gmail.com" TargetMode="External"/><Relationship Id="rId1" Type="http://schemas.openxmlformats.org/officeDocument/2006/relationships/hyperlink" Target="mailto:mneri2003@hotmail.com" TargetMode="External"/><Relationship Id="rId6" Type="http://schemas.openxmlformats.org/officeDocument/2006/relationships/hyperlink" Target="mailto:RMRODRIGUESSA5476@GMAIL.COM" TargetMode="External"/><Relationship Id="rId5" Type="http://schemas.openxmlformats.org/officeDocument/2006/relationships/hyperlink" Target="mailto:RMRODRIGUESSA5476@GMAIL.COM" TargetMode="External"/><Relationship Id="rId4" Type="http://schemas.openxmlformats.org/officeDocument/2006/relationships/hyperlink" Target="mailto:RMRODRIGUESSA547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F124"/>
  <sheetViews>
    <sheetView tabSelected="1" workbookViewId="0">
      <pane ySplit="1" topLeftCell="A2" activePane="bottomLeft" state="frozen"/>
      <selection pane="bottomLeft" sqref="A1:XFD1"/>
    </sheetView>
  </sheetViews>
  <sheetFormatPr defaultColWidth="12.5703125" defaultRowHeight="15" customHeight="1" x14ac:dyDescent="0.2"/>
  <cols>
    <col min="1" max="1" width="46" customWidth="1"/>
    <col min="2" max="2" width="7" hidden="1" customWidth="1"/>
    <col min="3" max="3" width="10.7109375" customWidth="1"/>
    <col min="4" max="4" width="11" hidden="1" customWidth="1"/>
    <col min="5" max="5" width="12.42578125" hidden="1" customWidth="1"/>
    <col min="6" max="8" width="16.140625" hidden="1" customWidth="1"/>
    <col min="9" max="9" width="4.5703125" hidden="1" customWidth="1"/>
    <col min="10" max="10" width="16.140625" customWidth="1"/>
    <col min="11" max="11" width="20.28515625" customWidth="1"/>
    <col min="12" max="12" width="22.42578125" customWidth="1"/>
    <col min="13" max="13" width="11.85546875" hidden="1" customWidth="1"/>
    <col min="14" max="14" width="16.140625" customWidth="1"/>
    <col min="15" max="15" width="18.42578125" bestFit="1" customWidth="1"/>
    <col min="16" max="24" width="16.140625" customWidth="1"/>
    <col min="25" max="25" width="22.7109375" customWidth="1"/>
    <col min="26" max="34" width="16.140625" customWidth="1"/>
    <col min="35" max="188" width="16.140625" hidden="1" customWidth="1"/>
  </cols>
  <sheetData>
    <row r="1" spans="1:188" ht="61.5" thickTop="1" thickBot="1" x14ac:dyDescent="0.25">
      <c r="A1" s="1" t="s">
        <v>1</v>
      </c>
      <c r="B1" s="2"/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20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4" t="s">
        <v>33</v>
      </c>
      <c r="AJ1" s="4" t="s">
        <v>34</v>
      </c>
      <c r="AK1" s="4" t="s">
        <v>35</v>
      </c>
      <c r="AL1" s="4" t="s">
        <v>36</v>
      </c>
      <c r="AM1" s="4" t="s">
        <v>37</v>
      </c>
      <c r="AN1" s="4" t="s">
        <v>38</v>
      </c>
      <c r="AO1" s="4" t="s">
        <v>39</v>
      </c>
      <c r="AP1" s="4" t="s">
        <v>40</v>
      </c>
      <c r="AQ1" s="4" t="s">
        <v>41</v>
      </c>
      <c r="AR1" s="4" t="s">
        <v>42</v>
      </c>
      <c r="AS1" s="4" t="s">
        <v>43</v>
      </c>
      <c r="AT1" s="4" t="s">
        <v>44</v>
      </c>
      <c r="AU1" s="4" t="s">
        <v>45</v>
      </c>
      <c r="AV1" s="4" t="s">
        <v>46</v>
      </c>
      <c r="AW1" s="4" t="s">
        <v>47</v>
      </c>
      <c r="AX1" s="4" t="s">
        <v>48</v>
      </c>
      <c r="AY1" s="4" t="s">
        <v>49</v>
      </c>
      <c r="AZ1" s="4" t="s">
        <v>50</v>
      </c>
      <c r="BA1" s="4" t="s">
        <v>51</v>
      </c>
      <c r="BB1" s="4" t="s">
        <v>52</v>
      </c>
      <c r="BC1" s="4" t="s">
        <v>53</v>
      </c>
      <c r="BD1" s="4" t="s">
        <v>54</v>
      </c>
      <c r="BE1" s="4" t="s">
        <v>55</v>
      </c>
      <c r="BF1" s="4" t="s">
        <v>56</v>
      </c>
      <c r="BG1" s="4" t="s">
        <v>44</v>
      </c>
      <c r="BH1" s="4" t="s">
        <v>45</v>
      </c>
      <c r="BI1" s="4" t="s">
        <v>46</v>
      </c>
      <c r="BJ1" s="4" t="s">
        <v>47</v>
      </c>
      <c r="BK1" s="4" t="s">
        <v>48</v>
      </c>
      <c r="BL1" s="4" t="s">
        <v>49</v>
      </c>
      <c r="BM1" s="4" t="s">
        <v>50</v>
      </c>
      <c r="BN1" s="4" t="s">
        <v>51</v>
      </c>
      <c r="BO1" s="4" t="s">
        <v>52</v>
      </c>
      <c r="BP1" s="4" t="s">
        <v>53</v>
      </c>
      <c r="BQ1" s="4" t="s">
        <v>54</v>
      </c>
      <c r="BR1" s="4" t="s">
        <v>55</v>
      </c>
      <c r="BS1" s="4" t="s">
        <v>56</v>
      </c>
      <c r="BT1" s="4" t="s">
        <v>44</v>
      </c>
      <c r="BU1" s="4" t="s">
        <v>45</v>
      </c>
      <c r="BV1" s="4" t="s">
        <v>46</v>
      </c>
      <c r="BW1" s="4" t="s">
        <v>47</v>
      </c>
      <c r="BX1" s="4" t="s">
        <v>48</v>
      </c>
      <c r="BY1" s="4" t="s">
        <v>49</v>
      </c>
      <c r="BZ1" s="4" t="s">
        <v>50</v>
      </c>
      <c r="CA1" s="4" t="s">
        <v>51</v>
      </c>
      <c r="CB1" s="4" t="s">
        <v>52</v>
      </c>
      <c r="CC1" s="4" t="s">
        <v>53</v>
      </c>
      <c r="CD1" s="4" t="s">
        <v>54</v>
      </c>
      <c r="CE1" s="4" t="s">
        <v>55</v>
      </c>
      <c r="CF1" s="4" t="s">
        <v>56</v>
      </c>
      <c r="CG1" s="4" t="s">
        <v>44</v>
      </c>
      <c r="CH1" s="4" t="s">
        <v>45</v>
      </c>
      <c r="CI1" s="4" t="s">
        <v>46</v>
      </c>
      <c r="CJ1" s="4" t="s">
        <v>47</v>
      </c>
      <c r="CK1" s="4" t="s">
        <v>48</v>
      </c>
      <c r="CL1" s="4" t="s">
        <v>49</v>
      </c>
      <c r="CM1" s="4" t="s">
        <v>50</v>
      </c>
      <c r="CN1" s="4" t="s">
        <v>51</v>
      </c>
      <c r="CO1" s="4" t="s">
        <v>52</v>
      </c>
      <c r="CP1" s="4" t="s">
        <v>53</v>
      </c>
      <c r="CQ1" s="4" t="s">
        <v>54</v>
      </c>
      <c r="CR1" s="4" t="s">
        <v>55</v>
      </c>
      <c r="CS1" s="4" t="s">
        <v>56</v>
      </c>
      <c r="CT1" s="4" t="s">
        <v>44</v>
      </c>
      <c r="CU1" s="4" t="s">
        <v>45</v>
      </c>
      <c r="CV1" s="4" t="s">
        <v>46</v>
      </c>
      <c r="CW1" s="4" t="s">
        <v>47</v>
      </c>
      <c r="CX1" s="4" t="s">
        <v>48</v>
      </c>
      <c r="CY1" s="4" t="s">
        <v>49</v>
      </c>
      <c r="CZ1" s="4" t="s">
        <v>50</v>
      </c>
      <c r="DA1" s="4" t="s">
        <v>51</v>
      </c>
      <c r="DB1" s="4" t="s">
        <v>52</v>
      </c>
      <c r="DC1" s="4" t="s">
        <v>53</v>
      </c>
      <c r="DD1" s="4" t="s">
        <v>54</v>
      </c>
      <c r="DE1" s="4" t="s">
        <v>55</v>
      </c>
      <c r="DF1" s="4" t="s">
        <v>56</v>
      </c>
      <c r="DG1" s="4" t="s">
        <v>44</v>
      </c>
      <c r="DH1" s="4" t="s">
        <v>45</v>
      </c>
      <c r="DI1" s="4" t="s">
        <v>46</v>
      </c>
      <c r="DJ1" s="4" t="s">
        <v>47</v>
      </c>
      <c r="DK1" s="4" t="s">
        <v>48</v>
      </c>
      <c r="DL1" s="4" t="s">
        <v>49</v>
      </c>
      <c r="DM1" s="4" t="s">
        <v>50</v>
      </c>
      <c r="DN1" s="4" t="s">
        <v>51</v>
      </c>
      <c r="DO1" s="4" t="s">
        <v>52</v>
      </c>
      <c r="DP1" s="4" t="s">
        <v>53</v>
      </c>
      <c r="DQ1" s="4" t="s">
        <v>54</v>
      </c>
      <c r="DR1" s="4" t="s">
        <v>55</v>
      </c>
      <c r="DS1" s="4" t="s">
        <v>56</v>
      </c>
      <c r="DT1" s="4" t="s">
        <v>44</v>
      </c>
      <c r="DU1" s="4" t="s">
        <v>45</v>
      </c>
      <c r="DV1" s="4" t="s">
        <v>46</v>
      </c>
      <c r="DW1" s="4" t="s">
        <v>47</v>
      </c>
      <c r="DX1" s="4" t="s">
        <v>48</v>
      </c>
      <c r="DY1" s="4" t="s">
        <v>49</v>
      </c>
      <c r="DZ1" s="4" t="s">
        <v>50</v>
      </c>
      <c r="EA1" s="4" t="s">
        <v>51</v>
      </c>
      <c r="EB1" s="4" t="s">
        <v>52</v>
      </c>
      <c r="EC1" s="4" t="s">
        <v>53</v>
      </c>
      <c r="ED1" s="4" t="s">
        <v>54</v>
      </c>
      <c r="EE1" s="4" t="s">
        <v>55</v>
      </c>
      <c r="EF1" s="4" t="s">
        <v>56</v>
      </c>
      <c r="EG1" s="4" t="s">
        <v>44</v>
      </c>
      <c r="EH1" s="4" t="s">
        <v>45</v>
      </c>
      <c r="EI1" s="4" t="s">
        <v>46</v>
      </c>
      <c r="EJ1" s="4" t="s">
        <v>47</v>
      </c>
      <c r="EK1" s="4" t="s">
        <v>48</v>
      </c>
      <c r="EL1" s="4" t="s">
        <v>49</v>
      </c>
      <c r="EM1" s="4" t="s">
        <v>50</v>
      </c>
      <c r="EN1" s="4" t="s">
        <v>51</v>
      </c>
      <c r="EO1" s="4" t="s">
        <v>52</v>
      </c>
      <c r="EP1" s="4" t="s">
        <v>53</v>
      </c>
      <c r="EQ1" s="4" t="s">
        <v>54</v>
      </c>
      <c r="ER1" s="4" t="s">
        <v>55</v>
      </c>
      <c r="ES1" s="4" t="s">
        <v>56</v>
      </c>
      <c r="ET1" s="4" t="s">
        <v>44</v>
      </c>
      <c r="EU1" s="4" t="s">
        <v>45</v>
      </c>
      <c r="EV1" s="4" t="s">
        <v>46</v>
      </c>
      <c r="EW1" s="4" t="s">
        <v>47</v>
      </c>
      <c r="EX1" s="4" t="s">
        <v>48</v>
      </c>
      <c r="EY1" s="4" t="s">
        <v>49</v>
      </c>
      <c r="EZ1" s="4" t="s">
        <v>50</v>
      </c>
      <c r="FA1" s="4" t="s">
        <v>51</v>
      </c>
      <c r="FB1" s="4" t="s">
        <v>52</v>
      </c>
      <c r="FC1" s="4" t="s">
        <v>53</v>
      </c>
      <c r="FD1" s="4" t="s">
        <v>54</v>
      </c>
      <c r="FE1" s="4" t="s">
        <v>55</v>
      </c>
      <c r="FF1" s="4" t="s">
        <v>56</v>
      </c>
      <c r="FG1" s="4" t="s">
        <v>44</v>
      </c>
      <c r="FH1" s="4" t="s">
        <v>45</v>
      </c>
      <c r="FI1" s="4" t="s">
        <v>46</v>
      </c>
      <c r="FJ1" s="4" t="s">
        <v>47</v>
      </c>
      <c r="FK1" s="4" t="s">
        <v>48</v>
      </c>
      <c r="FL1" s="4" t="s">
        <v>49</v>
      </c>
      <c r="FM1" s="4" t="s">
        <v>50</v>
      </c>
      <c r="FN1" s="4" t="s">
        <v>51</v>
      </c>
      <c r="FO1" s="4" t="s">
        <v>52</v>
      </c>
      <c r="FP1" s="4" t="s">
        <v>53</v>
      </c>
      <c r="FQ1" s="4" t="s">
        <v>54</v>
      </c>
      <c r="FR1" s="4" t="s">
        <v>55</v>
      </c>
      <c r="FS1" s="4" t="s">
        <v>56</v>
      </c>
      <c r="FT1" s="4" t="s">
        <v>44</v>
      </c>
      <c r="FU1" s="4" t="s">
        <v>45</v>
      </c>
      <c r="FV1" s="4" t="s">
        <v>46</v>
      </c>
      <c r="FW1" s="4" t="s">
        <v>47</v>
      </c>
      <c r="FX1" s="4" t="s">
        <v>48</v>
      </c>
      <c r="FY1" s="4" t="s">
        <v>49</v>
      </c>
      <c r="FZ1" s="4" t="s">
        <v>50</v>
      </c>
      <c r="GA1" s="4" t="s">
        <v>51</v>
      </c>
      <c r="GB1" s="4" t="s">
        <v>52</v>
      </c>
      <c r="GC1" s="4" t="s">
        <v>53</v>
      </c>
      <c r="GD1" s="4" t="s">
        <v>54</v>
      </c>
      <c r="GE1" s="4" t="s">
        <v>55</v>
      </c>
      <c r="GF1" s="4" t="s">
        <v>56</v>
      </c>
    </row>
    <row r="2" spans="1:188" ht="15.75" customHeight="1" x14ac:dyDescent="0.35">
      <c r="A2" s="5" t="s">
        <v>57</v>
      </c>
      <c r="B2" s="6" t="s">
        <v>58</v>
      </c>
      <c r="C2" s="7">
        <v>1</v>
      </c>
      <c r="D2" s="7" t="s">
        <v>59</v>
      </c>
      <c r="E2" s="7" t="s">
        <v>60</v>
      </c>
      <c r="F2" s="8" t="s">
        <v>61</v>
      </c>
      <c r="G2" s="8" t="s">
        <v>62</v>
      </c>
      <c r="H2" s="7" t="s">
        <v>63</v>
      </c>
      <c r="I2" s="9" t="s">
        <v>64</v>
      </c>
      <c r="J2" s="5" t="s">
        <v>65</v>
      </c>
      <c r="K2" s="5" t="s">
        <v>66</v>
      </c>
      <c r="L2" s="7" t="s">
        <v>67</v>
      </c>
      <c r="M2" s="7" t="s">
        <v>68</v>
      </c>
      <c r="N2" s="7" t="s">
        <v>69</v>
      </c>
      <c r="O2" s="7" t="s">
        <v>1079</v>
      </c>
      <c r="P2" s="7" t="s">
        <v>1079</v>
      </c>
      <c r="Q2" s="7" t="s">
        <v>1079</v>
      </c>
      <c r="R2" s="7" t="s">
        <v>71</v>
      </c>
      <c r="S2" s="10" t="s">
        <v>72</v>
      </c>
      <c r="T2" s="7" t="s">
        <v>73</v>
      </c>
      <c r="U2" s="7" t="s">
        <v>74</v>
      </c>
      <c r="V2" s="7" t="s">
        <v>70</v>
      </c>
      <c r="W2" s="7" t="s">
        <v>70</v>
      </c>
      <c r="X2" s="7" t="s">
        <v>70</v>
      </c>
      <c r="Y2" s="11">
        <v>120000</v>
      </c>
      <c r="Z2" s="11">
        <f t="shared" ref="Z2:Z5" si="0">Y2/12</f>
        <v>10000</v>
      </c>
      <c r="AA2" s="11">
        <v>71333</v>
      </c>
      <c r="AB2" s="11" t="s">
        <v>75</v>
      </c>
      <c r="AC2" s="11">
        <v>40000</v>
      </c>
      <c r="AD2" s="7" t="s">
        <v>76</v>
      </c>
      <c r="AE2" s="7" t="s">
        <v>76</v>
      </c>
      <c r="AF2" s="7" t="s">
        <v>77</v>
      </c>
      <c r="AG2" s="7" t="s">
        <v>78</v>
      </c>
      <c r="AH2" s="7" t="s">
        <v>78</v>
      </c>
      <c r="AI2" s="7" t="s">
        <v>79</v>
      </c>
      <c r="AJ2" s="7" t="s">
        <v>80</v>
      </c>
      <c r="AK2" s="7" t="s">
        <v>81</v>
      </c>
      <c r="AL2" s="7" t="s">
        <v>82</v>
      </c>
      <c r="AM2" s="7" t="s">
        <v>83</v>
      </c>
      <c r="AN2" s="7" t="s">
        <v>84</v>
      </c>
      <c r="AO2" s="7" t="s">
        <v>85</v>
      </c>
      <c r="AP2" s="7" t="s">
        <v>86</v>
      </c>
      <c r="AQ2" s="7" t="s">
        <v>87</v>
      </c>
      <c r="AR2" s="7" t="s">
        <v>88</v>
      </c>
      <c r="AS2" s="7"/>
      <c r="AT2" s="7" t="s">
        <v>89</v>
      </c>
      <c r="AU2" s="7" t="s">
        <v>90</v>
      </c>
      <c r="AV2" s="7" t="s">
        <v>91</v>
      </c>
      <c r="AW2" s="7" t="s">
        <v>92</v>
      </c>
      <c r="AX2" s="11">
        <v>5000</v>
      </c>
      <c r="AY2" s="7" t="s">
        <v>93</v>
      </c>
      <c r="AZ2" s="11">
        <v>220000</v>
      </c>
      <c r="BA2" s="7" t="s">
        <v>94</v>
      </c>
      <c r="BB2" s="7" t="s">
        <v>95</v>
      </c>
      <c r="BC2" s="7" t="s">
        <v>96</v>
      </c>
      <c r="BD2" s="10">
        <v>45780</v>
      </c>
      <c r="BE2" s="7" t="s">
        <v>97</v>
      </c>
      <c r="BF2" s="7" t="s">
        <v>98</v>
      </c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  <c r="DR2" s="12"/>
      <c r="DS2" s="12"/>
      <c r="DT2" s="12"/>
      <c r="DU2" s="12"/>
      <c r="DV2" s="12"/>
      <c r="DW2" s="12"/>
      <c r="DX2" s="12"/>
      <c r="DY2" s="12"/>
      <c r="DZ2" s="12"/>
      <c r="EA2" s="12"/>
      <c r="EB2" s="12"/>
      <c r="EC2" s="12"/>
      <c r="ED2" s="12"/>
      <c r="EE2" s="12"/>
      <c r="EF2" s="12"/>
      <c r="EG2" s="12"/>
      <c r="EH2" s="12"/>
      <c r="EI2" s="12"/>
      <c r="EJ2" s="12"/>
      <c r="EK2" s="12"/>
      <c r="EL2" s="12"/>
      <c r="EM2" s="12"/>
      <c r="EN2" s="12"/>
      <c r="EO2" s="12"/>
      <c r="EP2" s="12"/>
      <c r="EQ2" s="12"/>
      <c r="ER2" s="12"/>
      <c r="ES2" s="12"/>
      <c r="ET2" s="12"/>
      <c r="EU2" s="12"/>
      <c r="EV2" s="12"/>
      <c r="EW2" s="12"/>
      <c r="EX2" s="12"/>
      <c r="EY2" s="12"/>
      <c r="EZ2" s="12"/>
      <c r="FA2" s="12"/>
      <c r="FB2" s="12"/>
      <c r="FC2" s="12"/>
      <c r="FD2" s="12"/>
      <c r="FE2" s="12"/>
      <c r="FF2" s="12"/>
      <c r="FG2" s="12"/>
      <c r="FH2" s="12"/>
      <c r="FI2" s="12"/>
      <c r="FJ2" s="12"/>
      <c r="FK2" s="12"/>
      <c r="FL2" s="12"/>
      <c r="FM2" s="12"/>
      <c r="FN2" s="12"/>
      <c r="FO2" s="12"/>
      <c r="FP2" s="12"/>
      <c r="FQ2" s="12"/>
      <c r="FR2" s="12"/>
      <c r="FS2" s="12"/>
      <c r="FT2" s="12"/>
      <c r="FU2" s="12"/>
      <c r="FV2" s="12"/>
      <c r="FW2" s="12"/>
      <c r="FX2" s="12"/>
      <c r="FY2" s="12"/>
      <c r="FZ2" s="12"/>
      <c r="GA2" s="12"/>
      <c r="GB2" s="12"/>
      <c r="GC2" s="12"/>
      <c r="GD2" s="12"/>
      <c r="GE2" s="12"/>
      <c r="GF2" s="12"/>
    </row>
    <row r="3" spans="1:188" ht="15.75" customHeight="1" x14ac:dyDescent="0.35">
      <c r="A3" s="5" t="s">
        <v>99</v>
      </c>
      <c r="B3" s="13" t="s">
        <v>58</v>
      </c>
      <c r="C3" s="7">
        <v>2</v>
      </c>
      <c r="D3" s="7" t="s">
        <v>100</v>
      </c>
      <c r="E3" s="7" t="s">
        <v>101</v>
      </c>
      <c r="F3" s="5" t="s">
        <v>99</v>
      </c>
      <c r="G3" s="8" t="s">
        <v>102</v>
      </c>
      <c r="H3" s="7" t="s">
        <v>103</v>
      </c>
      <c r="I3" s="7" t="s">
        <v>104</v>
      </c>
      <c r="J3" s="5" t="s">
        <v>105</v>
      </c>
      <c r="K3" s="8" t="s">
        <v>106</v>
      </c>
      <c r="L3" s="7" t="s">
        <v>67</v>
      </c>
      <c r="M3" s="7" t="s">
        <v>107</v>
      </c>
      <c r="N3" s="7" t="s">
        <v>69</v>
      </c>
      <c r="O3" s="7" t="s">
        <v>1079</v>
      </c>
      <c r="P3" s="7" t="s">
        <v>1079</v>
      </c>
      <c r="Q3" s="7" t="s">
        <v>1079</v>
      </c>
      <c r="R3" s="7" t="s">
        <v>71</v>
      </c>
      <c r="S3" s="10" t="s">
        <v>72</v>
      </c>
      <c r="T3" s="7" t="s">
        <v>73</v>
      </c>
      <c r="U3" s="7" t="s">
        <v>74</v>
      </c>
      <c r="V3" s="7" t="s">
        <v>70</v>
      </c>
      <c r="W3" s="7" t="s">
        <v>70</v>
      </c>
      <c r="X3" s="7" t="s">
        <v>70</v>
      </c>
      <c r="Y3" s="11">
        <v>302400</v>
      </c>
      <c r="Z3" s="11">
        <f t="shared" si="0"/>
        <v>25200</v>
      </c>
      <c r="AA3" s="11">
        <f>Z3*8</f>
        <v>201600</v>
      </c>
      <c r="AB3" s="11" t="s">
        <v>75</v>
      </c>
      <c r="AC3" s="11">
        <f t="shared" ref="AC3:AC5" si="1">Y3-AA3</f>
        <v>100800</v>
      </c>
      <c r="AD3" s="7" t="s">
        <v>76</v>
      </c>
      <c r="AE3" s="7" t="s">
        <v>76</v>
      </c>
      <c r="AF3" s="7" t="s">
        <v>77</v>
      </c>
      <c r="AG3" s="14" t="s">
        <v>104</v>
      </c>
      <c r="AH3" s="14" t="s">
        <v>104</v>
      </c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  <c r="EY3" s="12"/>
      <c r="EZ3" s="12"/>
      <c r="FA3" s="12"/>
      <c r="FB3" s="12"/>
      <c r="FC3" s="12"/>
      <c r="FD3" s="12"/>
      <c r="FE3" s="12"/>
      <c r="FF3" s="12"/>
      <c r="FG3" s="12"/>
      <c r="FH3" s="12"/>
      <c r="FI3" s="12"/>
      <c r="FJ3" s="12"/>
      <c r="FK3" s="12"/>
      <c r="FL3" s="12"/>
      <c r="FM3" s="12"/>
      <c r="FN3" s="12"/>
      <c r="FO3" s="12"/>
      <c r="FP3" s="12"/>
      <c r="FQ3" s="12"/>
      <c r="FR3" s="12"/>
      <c r="FS3" s="12"/>
      <c r="FT3" s="12"/>
      <c r="FU3" s="12"/>
      <c r="FV3" s="12"/>
      <c r="FW3" s="12"/>
      <c r="FX3" s="12"/>
      <c r="FY3" s="12"/>
      <c r="FZ3" s="12"/>
      <c r="GA3" s="12"/>
      <c r="GB3" s="12"/>
      <c r="GC3" s="12"/>
      <c r="GD3" s="12"/>
      <c r="GE3" s="12"/>
      <c r="GF3" s="12"/>
    </row>
    <row r="4" spans="1:188" ht="15.75" customHeight="1" x14ac:dyDescent="0.35">
      <c r="A4" s="5" t="s">
        <v>108</v>
      </c>
      <c r="B4" s="13" t="s">
        <v>58</v>
      </c>
      <c r="C4" s="7">
        <v>3</v>
      </c>
      <c r="D4" s="7" t="s">
        <v>109</v>
      </c>
      <c r="E4" s="7" t="s">
        <v>101</v>
      </c>
      <c r="F4" s="15" t="s">
        <v>108</v>
      </c>
      <c r="G4" s="8" t="s">
        <v>110</v>
      </c>
      <c r="H4" s="7" t="s">
        <v>111</v>
      </c>
      <c r="I4" s="7" t="s">
        <v>104</v>
      </c>
      <c r="J4" s="5" t="s">
        <v>112</v>
      </c>
      <c r="K4" s="8" t="s">
        <v>113</v>
      </c>
      <c r="L4" s="7" t="s">
        <v>67</v>
      </c>
      <c r="M4" s="7" t="s">
        <v>59</v>
      </c>
      <c r="N4" s="7" t="s">
        <v>69</v>
      </c>
      <c r="O4" s="7" t="s">
        <v>1079</v>
      </c>
      <c r="P4" s="7" t="s">
        <v>1079</v>
      </c>
      <c r="Q4" s="7" t="s">
        <v>1079</v>
      </c>
      <c r="R4" s="7" t="s">
        <v>71</v>
      </c>
      <c r="S4" s="10" t="s">
        <v>114</v>
      </c>
      <c r="T4" s="7" t="s">
        <v>115</v>
      </c>
      <c r="U4" s="7" t="s">
        <v>74</v>
      </c>
      <c r="V4" s="7" t="s">
        <v>70</v>
      </c>
      <c r="W4" s="7" t="s">
        <v>70</v>
      </c>
      <c r="X4" s="7" t="s">
        <v>70</v>
      </c>
      <c r="Y4" s="11">
        <f>27000*12</f>
        <v>324000</v>
      </c>
      <c r="Z4" s="11">
        <f t="shared" si="0"/>
        <v>27000</v>
      </c>
      <c r="AA4" s="11">
        <v>188460</v>
      </c>
      <c r="AB4" s="11" t="s">
        <v>75</v>
      </c>
      <c r="AC4" s="11">
        <f t="shared" si="1"/>
        <v>135540</v>
      </c>
      <c r="AD4" s="7" t="s">
        <v>76</v>
      </c>
      <c r="AE4" s="7" t="s">
        <v>116</v>
      </c>
      <c r="AF4" s="7" t="s">
        <v>77</v>
      </c>
      <c r="AG4" s="14" t="s">
        <v>104</v>
      </c>
      <c r="AH4" s="14" t="s">
        <v>104</v>
      </c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  <c r="EX4" s="12"/>
      <c r="EY4" s="12"/>
      <c r="EZ4" s="12"/>
      <c r="FA4" s="12"/>
      <c r="FB4" s="12"/>
      <c r="FC4" s="12"/>
      <c r="FD4" s="12"/>
      <c r="FE4" s="12"/>
      <c r="FF4" s="12"/>
      <c r="FG4" s="12"/>
      <c r="FH4" s="12"/>
      <c r="FI4" s="12"/>
      <c r="FJ4" s="12"/>
      <c r="FK4" s="12"/>
      <c r="FL4" s="12"/>
      <c r="FM4" s="12"/>
      <c r="FN4" s="12"/>
      <c r="FO4" s="12"/>
      <c r="FP4" s="12"/>
      <c r="FQ4" s="12"/>
      <c r="FR4" s="12"/>
      <c r="FS4" s="12"/>
      <c r="FT4" s="12"/>
      <c r="FU4" s="12"/>
      <c r="FV4" s="12"/>
      <c r="FW4" s="12"/>
      <c r="FX4" s="12"/>
      <c r="FY4" s="12"/>
      <c r="FZ4" s="12"/>
      <c r="GA4" s="12"/>
      <c r="GB4" s="12"/>
      <c r="GC4" s="12"/>
      <c r="GD4" s="12"/>
      <c r="GE4" s="12"/>
      <c r="GF4" s="12"/>
    </row>
    <row r="5" spans="1:188" ht="15.75" customHeight="1" x14ac:dyDescent="0.35">
      <c r="A5" s="5" t="s">
        <v>117</v>
      </c>
      <c r="B5" s="13" t="s">
        <v>58</v>
      </c>
      <c r="C5" s="7">
        <v>4</v>
      </c>
      <c r="D5" s="7" t="s">
        <v>118</v>
      </c>
      <c r="E5" s="7" t="s">
        <v>119</v>
      </c>
      <c r="F5" s="5" t="s">
        <v>117</v>
      </c>
      <c r="G5" s="8" t="s">
        <v>120</v>
      </c>
      <c r="H5" s="7" t="s">
        <v>121</v>
      </c>
      <c r="I5" s="7" t="s">
        <v>104</v>
      </c>
      <c r="J5" s="5" t="s">
        <v>122</v>
      </c>
      <c r="K5" s="8" t="s">
        <v>123</v>
      </c>
      <c r="L5" s="7" t="s">
        <v>67</v>
      </c>
      <c r="M5" s="7" t="s">
        <v>124</v>
      </c>
      <c r="N5" s="7" t="s">
        <v>69</v>
      </c>
      <c r="O5" s="7" t="s">
        <v>1079</v>
      </c>
      <c r="P5" s="7" t="s">
        <v>1079</v>
      </c>
      <c r="Q5" s="7" t="s">
        <v>1079</v>
      </c>
      <c r="R5" s="7" t="s">
        <v>71</v>
      </c>
      <c r="S5" s="7" t="s">
        <v>125</v>
      </c>
      <c r="T5" s="7" t="s">
        <v>126</v>
      </c>
      <c r="U5" s="7" t="s">
        <v>74</v>
      </c>
      <c r="V5" s="7" t="s">
        <v>70</v>
      </c>
      <c r="W5" s="7" t="s">
        <v>70</v>
      </c>
      <c r="X5" s="7" t="s">
        <v>70</v>
      </c>
      <c r="Y5" s="11">
        <v>522000</v>
      </c>
      <c r="Z5" s="11">
        <f t="shared" si="0"/>
        <v>43500</v>
      </c>
      <c r="AA5" s="11">
        <v>261000</v>
      </c>
      <c r="AB5" s="11" t="s">
        <v>127</v>
      </c>
      <c r="AC5" s="11">
        <f t="shared" si="1"/>
        <v>261000</v>
      </c>
      <c r="AD5" s="7" t="s">
        <v>76</v>
      </c>
      <c r="AE5" s="7" t="s">
        <v>76</v>
      </c>
      <c r="AF5" s="7" t="s">
        <v>77</v>
      </c>
      <c r="AG5" s="14" t="s">
        <v>104</v>
      </c>
      <c r="AH5" s="14" t="s">
        <v>104</v>
      </c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/>
      <c r="DL5" s="12"/>
      <c r="DM5" s="12"/>
      <c r="DN5" s="12"/>
      <c r="DO5" s="12"/>
      <c r="DP5" s="12"/>
      <c r="DQ5" s="12"/>
      <c r="DR5" s="12"/>
      <c r="DS5" s="12"/>
      <c r="DT5" s="12"/>
      <c r="DU5" s="12"/>
      <c r="DV5" s="12"/>
      <c r="DW5" s="12"/>
      <c r="DX5" s="12"/>
      <c r="DY5" s="12"/>
      <c r="DZ5" s="12"/>
      <c r="EA5" s="12"/>
      <c r="EB5" s="12"/>
      <c r="EC5" s="12"/>
      <c r="ED5" s="12"/>
      <c r="EE5" s="12"/>
      <c r="EF5" s="12"/>
      <c r="EG5" s="12"/>
      <c r="EH5" s="12"/>
      <c r="EI5" s="12"/>
      <c r="EJ5" s="12"/>
      <c r="EK5" s="12"/>
      <c r="EL5" s="12"/>
      <c r="EM5" s="12"/>
      <c r="EN5" s="12"/>
      <c r="EO5" s="12"/>
      <c r="EP5" s="12"/>
      <c r="EQ5" s="12"/>
      <c r="ER5" s="12"/>
      <c r="ES5" s="12"/>
      <c r="ET5" s="12"/>
      <c r="EU5" s="12"/>
      <c r="EV5" s="12"/>
      <c r="EW5" s="12"/>
      <c r="EX5" s="12"/>
      <c r="EY5" s="12"/>
      <c r="EZ5" s="12"/>
      <c r="FA5" s="12"/>
      <c r="FB5" s="12"/>
      <c r="FC5" s="12"/>
      <c r="FD5" s="12"/>
      <c r="FE5" s="12"/>
      <c r="FF5" s="12"/>
      <c r="FG5" s="12"/>
      <c r="FH5" s="12"/>
      <c r="FI5" s="12"/>
      <c r="FJ5" s="12"/>
      <c r="FK5" s="12"/>
      <c r="FL5" s="12"/>
      <c r="FM5" s="12"/>
      <c r="FN5" s="12"/>
      <c r="FO5" s="12"/>
      <c r="FP5" s="12"/>
      <c r="FQ5" s="12"/>
      <c r="FR5" s="12"/>
      <c r="FS5" s="12"/>
      <c r="FT5" s="12"/>
      <c r="FU5" s="12"/>
      <c r="FV5" s="12"/>
      <c r="FW5" s="12"/>
      <c r="FX5" s="12"/>
      <c r="FY5" s="12"/>
      <c r="FZ5" s="12"/>
      <c r="GA5" s="12"/>
      <c r="GB5" s="12"/>
      <c r="GC5" s="12"/>
      <c r="GD5" s="12"/>
      <c r="GE5" s="12"/>
      <c r="GF5" s="12"/>
    </row>
    <row r="6" spans="1:188" ht="15.75" customHeight="1" x14ac:dyDescent="0.35">
      <c r="A6" s="16" t="s">
        <v>128</v>
      </c>
      <c r="B6" s="13" t="s">
        <v>58</v>
      </c>
      <c r="C6" s="7">
        <v>5</v>
      </c>
      <c r="D6" s="7" t="s">
        <v>129</v>
      </c>
      <c r="E6" s="7" t="s">
        <v>130</v>
      </c>
      <c r="F6" s="5" t="s">
        <v>128</v>
      </c>
      <c r="G6" s="8" t="s">
        <v>131</v>
      </c>
      <c r="H6" s="7" t="s">
        <v>104</v>
      </c>
      <c r="I6" s="7" t="s">
        <v>104</v>
      </c>
      <c r="J6" s="5" t="s">
        <v>132</v>
      </c>
      <c r="K6" s="8" t="s">
        <v>133</v>
      </c>
      <c r="L6" s="7" t="s">
        <v>134</v>
      </c>
      <c r="M6" s="7" t="s">
        <v>68</v>
      </c>
      <c r="N6" s="7" t="s">
        <v>68</v>
      </c>
      <c r="O6" s="11" t="s">
        <v>135</v>
      </c>
      <c r="P6" s="11" t="s">
        <v>104</v>
      </c>
      <c r="Q6" s="8" t="s">
        <v>136</v>
      </c>
      <c r="R6" s="7" t="s">
        <v>137</v>
      </c>
      <c r="S6" s="7" t="s">
        <v>138</v>
      </c>
      <c r="T6" s="7" t="s">
        <v>139</v>
      </c>
      <c r="U6" s="7" t="s">
        <v>74</v>
      </c>
      <c r="V6" s="7" t="s">
        <v>140</v>
      </c>
      <c r="W6" s="7" t="s">
        <v>74</v>
      </c>
      <c r="X6" s="7" t="s">
        <v>70</v>
      </c>
      <c r="Y6" s="11" t="s">
        <v>141</v>
      </c>
      <c r="Z6" s="11" t="s">
        <v>142</v>
      </c>
      <c r="AA6" s="17" t="s">
        <v>143</v>
      </c>
      <c r="AB6" s="17" t="s">
        <v>104</v>
      </c>
      <c r="AC6" s="17" t="s">
        <v>104</v>
      </c>
      <c r="AD6" s="7" t="s">
        <v>76</v>
      </c>
      <c r="AE6" s="7" t="s">
        <v>76</v>
      </c>
      <c r="AF6" s="18" t="s">
        <v>144</v>
      </c>
      <c r="AG6" s="14" t="s">
        <v>104</v>
      </c>
      <c r="AH6" s="14" t="s">
        <v>104</v>
      </c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2"/>
      <c r="DV6" s="12"/>
      <c r="DW6" s="12"/>
      <c r="DX6" s="12"/>
      <c r="DY6" s="12"/>
      <c r="DZ6" s="12"/>
      <c r="EA6" s="12"/>
      <c r="EB6" s="12"/>
      <c r="EC6" s="12"/>
      <c r="ED6" s="12"/>
      <c r="EE6" s="12"/>
      <c r="EF6" s="12"/>
      <c r="EG6" s="12"/>
      <c r="EH6" s="12"/>
      <c r="EI6" s="12"/>
      <c r="EJ6" s="12"/>
      <c r="EK6" s="12"/>
      <c r="EL6" s="12"/>
      <c r="EM6" s="12"/>
      <c r="EN6" s="12"/>
      <c r="EO6" s="12"/>
      <c r="EP6" s="12"/>
      <c r="EQ6" s="12"/>
      <c r="ER6" s="12"/>
      <c r="ES6" s="12"/>
      <c r="ET6" s="12"/>
      <c r="EU6" s="12"/>
      <c r="EV6" s="12"/>
      <c r="EW6" s="12"/>
      <c r="EX6" s="12"/>
      <c r="EY6" s="12"/>
      <c r="EZ6" s="12"/>
      <c r="FA6" s="12"/>
      <c r="FB6" s="12"/>
      <c r="FC6" s="12"/>
      <c r="FD6" s="12"/>
      <c r="FE6" s="12"/>
      <c r="FF6" s="12"/>
      <c r="FG6" s="12"/>
      <c r="FH6" s="12"/>
      <c r="FI6" s="12"/>
      <c r="FJ6" s="12"/>
      <c r="FK6" s="12"/>
      <c r="FL6" s="12"/>
      <c r="FM6" s="12"/>
      <c r="FN6" s="12"/>
      <c r="FO6" s="12"/>
      <c r="FP6" s="12"/>
      <c r="FQ6" s="12"/>
      <c r="FR6" s="12"/>
      <c r="FS6" s="12"/>
      <c r="FT6" s="12"/>
      <c r="FU6" s="12"/>
      <c r="FV6" s="12"/>
      <c r="FW6" s="12"/>
      <c r="FX6" s="12"/>
      <c r="FY6" s="12"/>
      <c r="FZ6" s="12"/>
      <c r="GA6" s="12"/>
      <c r="GB6" s="12"/>
      <c r="GC6" s="12"/>
      <c r="GD6" s="12"/>
      <c r="GE6" s="12"/>
      <c r="GF6" s="12"/>
    </row>
    <row r="7" spans="1:188" ht="15.75" customHeight="1" x14ac:dyDescent="0.35">
      <c r="A7" s="16" t="s">
        <v>145</v>
      </c>
      <c r="B7" s="13" t="s">
        <v>58</v>
      </c>
      <c r="C7" s="7">
        <v>6</v>
      </c>
      <c r="D7" s="7" t="s">
        <v>129</v>
      </c>
      <c r="E7" s="7" t="s">
        <v>146</v>
      </c>
      <c r="F7" s="5" t="s">
        <v>145</v>
      </c>
      <c r="G7" s="8" t="s">
        <v>147</v>
      </c>
      <c r="H7" s="7" t="s">
        <v>148</v>
      </c>
      <c r="I7" s="7" t="s">
        <v>104</v>
      </c>
      <c r="J7" s="5" t="s">
        <v>132</v>
      </c>
      <c r="K7" s="8" t="s">
        <v>149</v>
      </c>
      <c r="L7" s="7" t="s">
        <v>134</v>
      </c>
      <c r="M7" s="7" t="s">
        <v>68</v>
      </c>
      <c r="N7" s="7" t="s">
        <v>68</v>
      </c>
      <c r="O7" s="11" t="s">
        <v>135</v>
      </c>
      <c r="P7" s="11" t="s">
        <v>104</v>
      </c>
      <c r="Q7" s="8" t="s">
        <v>150</v>
      </c>
      <c r="R7" s="7" t="s">
        <v>137</v>
      </c>
      <c r="S7" s="7" t="s">
        <v>138</v>
      </c>
      <c r="T7" s="7" t="s">
        <v>139</v>
      </c>
      <c r="U7" s="7" t="s">
        <v>74</v>
      </c>
      <c r="V7" s="7" t="s">
        <v>140</v>
      </c>
      <c r="W7" s="7" t="s">
        <v>74</v>
      </c>
      <c r="X7" s="7" t="s">
        <v>70</v>
      </c>
      <c r="Y7" s="11" t="s">
        <v>151</v>
      </c>
      <c r="Z7" s="11" t="s">
        <v>152</v>
      </c>
      <c r="AA7" s="17" t="s">
        <v>153</v>
      </c>
      <c r="AB7" s="17" t="s">
        <v>154</v>
      </c>
      <c r="AC7" s="17" t="s">
        <v>155</v>
      </c>
      <c r="AD7" s="7" t="s">
        <v>76</v>
      </c>
      <c r="AE7" s="7" t="s">
        <v>76</v>
      </c>
      <c r="AF7" s="18" t="s">
        <v>144</v>
      </c>
      <c r="AG7" s="14" t="s">
        <v>104</v>
      </c>
      <c r="AH7" s="14" t="s">
        <v>104</v>
      </c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  <c r="DT7" s="12"/>
      <c r="DU7" s="12"/>
      <c r="DV7" s="12"/>
      <c r="DW7" s="12"/>
      <c r="DX7" s="12"/>
      <c r="DY7" s="12"/>
      <c r="DZ7" s="12"/>
      <c r="EA7" s="12"/>
      <c r="EB7" s="12"/>
      <c r="EC7" s="12"/>
      <c r="ED7" s="12"/>
      <c r="EE7" s="12"/>
      <c r="EF7" s="12"/>
      <c r="EG7" s="12"/>
      <c r="EH7" s="12"/>
      <c r="EI7" s="12"/>
      <c r="EJ7" s="12"/>
      <c r="EK7" s="12"/>
      <c r="EL7" s="12"/>
      <c r="EM7" s="12"/>
      <c r="EN7" s="12"/>
      <c r="EO7" s="12"/>
      <c r="EP7" s="12"/>
      <c r="EQ7" s="12"/>
      <c r="ER7" s="12"/>
      <c r="ES7" s="12"/>
      <c r="ET7" s="12"/>
      <c r="EU7" s="12"/>
      <c r="EV7" s="12"/>
      <c r="EW7" s="12"/>
      <c r="EX7" s="12"/>
      <c r="EY7" s="12"/>
      <c r="EZ7" s="12"/>
      <c r="FA7" s="12"/>
      <c r="FB7" s="12"/>
      <c r="FC7" s="12"/>
      <c r="FD7" s="12"/>
      <c r="FE7" s="12"/>
      <c r="FF7" s="12"/>
      <c r="FG7" s="12"/>
      <c r="FH7" s="12"/>
      <c r="FI7" s="12"/>
      <c r="FJ7" s="12"/>
      <c r="FK7" s="12"/>
      <c r="FL7" s="12"/>
      <c r="FM7" s="12"/>
      <c r="FN7" s="12"/>
      <c r="FO7" s="12"/>
      <c r="FP7" s="12"/>
      <c r="FQ7" s="12"/>
      <c r="FR7" s="12"/>
      <c r="FS7" s="12"/>
      <c r="FT7" s="12"/>
      <c r="FU7" s="12"/>
      <c r="FV7" s="12"/>
      <c r="FW7" s="12"/>
      <c r="FX7" s="12"/>
      <c r="FY7" s="12"/>
      <c r="FZ7" s="12"/>
      <c r="GA7" s="12"/>
      <c r="GB7" s="12"/>
      <c r="GC7" s="12"/>
      <c r="GD7" s="12"/>
      <c r="GE7" s="12"/>
      <c r="GF7" s="12"/>
    </row>
    <row r="8" spans="1:188" ht="15.75" customHeight="1" x14ac:dyDescent="0.35">
      <c r="A8" s="16" t="s">
        <v>156</v>
      </c>
      <c r="B8" s="13" t="s">
        <v>58</v>
      </c>
      <c r="C8" s="7">
        <v>7</v>
      </c>
      <c r="D8" s="7" t="s">
        <v>129</v>
      </c>
      <c r="E8" s="7" t="s">
        <v>157</v>
      </c>
      <c r="F8" s="5" t="s">
        <v>156</v>
      </c>
      <c r="G8" s="8" t="s">
        <v>158</v>
      </c>
      <c r="H8" s="7" t="s">
        <v>104</v>
      </c>
      <c r="I8" s="7" t="s">
        <v>104</v>
      </c>
      <c r="J8" s="5" t="s">
        <v>159</v>
      </c>
      <c r="K8" s="8" t="s">
        <v>160</v>
      </c>
      <c r="L8" s="7" t="s">
        <v>134</v>
      </c>
      <c r="M8" s="7" t="s">
        <v>68</v>
      </c>
      <c r="N8" s="7" t="s">
        <v>68</v>
      </c>
      <c r="O8" s="11" t="s">
        <v>161</v>
      </c>
      <c r="P8" s="11" t="s">
        <v>104</v>
      </c>
      <c r="Q8" s="8" t="s">
        <v>162</v>
      </c>
      <c r="R8" s="7" t="s">
        <v>137</v>
      </c>
      <c r="S8" s="7" t="s">
        <v>138</v>
      </c>
      <c r="T8" s="7" t="s">
        <v>139</v>
      </c>
      <c r="U8" s="7" t="s">
        <v>74</v>
      </c>
      <c r="V8" s="7" t="s">
        <v>140</v>
      </c>
      <c r="W8" s="7" t="s">
        <v>74</v>
      </c>
      <c r="X8" s="7" t="s">
        <v>70</v>
      </c>
      <c r="Y8" s="11" t="s">
        <v>163</v>
      </c>
      <c r="Z8" s="11" t="s">
        <v>164</v>
      </c>
      <c r="AA8" s="17" t="s">
        <v>143</v>
      </c>
      <c r="AB8" s="17" t="s">
        <v>104</v>
      </c>
      <c r="AC8" s="17" t="s">
        <v>104</v>
      </c>
      <c r="AD8" s="7" t="s">
        <v>76</v>
      </c>
      <c r="AE8" s="7" t="s">
        <v>76</v>
      </c>
      <c r="AF8" s="18" t="s">
        <v>144</v>
      </c>
      <c r="AG8" s="14" t="s">
        <v>104</v>
      </c>
      <c r="AH8" s="14" t="s">
        <v>104</v>
      </c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12"/>
      <c r="DD8" s="12"/>
      <c r="DE8" s="12"/>
      <c r="DF8" s="12"/>
      <c r="DG8" s="12"/>
      <c r="DH8" s="12"/>
      <c r="DI8" s="12"/>
      <c r="DJ8" s="12"/>
      <c r="DK8" s="12"/>
      <c r="DL8" s="12"/>
      <c r="DM8" s="12"/>
      <c r="DN8" s="12"/>
      <c r="DO8" s="12"/>
      <c r="DP8" s="12"/>
      <c r="DQ8" s="12"/>
      <c r="DR8" s="12"/>
      <c r="DS8" s="12"/>
      <c r="DT8" s="12"/>
      <c r="DU8" s="12"/>
      <c r="DV8" s="12"/>
      <c r="DW8" s="12"/>
      <c r="DX8" s="12"/>
      <c r="DY8" s="12"/>
      <c r="DZ8" s="12"/>
      <c r="EA8" s="12"/>
      <c r="EB8" s="12"/>
      <c r="EC8" s="12"/>
      <c r="ED8" s="12"/>
      <c r="EE8" s="12"/>
      <c r="EF8" s="12"/>
      <c r="EG8" s="12"/>
      <c r="EH8" s="12"/>
      <c r="EI8" s="12"/>
      <c r="EJ8" s="12"/>
      <c r="EK8" s="12"/>
      <c r="EL8" s="12"/>
      <c r="EM8" s="12"/>
      <c r="EN8" s="12"/>
      <c r="EO8" s="12"/>
      <c r="EP8" s="12"/>
      <c r="EQ8" s="12"/>
      <c r="ER8" s="12"/>
      <c r="ES8" s="12"/>
      <c r="ET8" s="12"/>
      <c r="EU8" s="12"/>
      <c r="EV8" s="12"/>
      <c r="EW8" s="12"/>
      <c r="EX8" s="12"/>
      <c r="EY8" s="12"/>
      <c r="EZ8" s="12"/>
      <c r="FA8" s="12"/>
      <c r="FB8" s="12"/>
      <c r="FC8" s="12"/>
      <c r="FD8" s="12"/>
      <c r="FE8" s="12"/>
      <c r="FF8" s="12"/>
      <c r="FG8" s="12"/>
      <c r="FH8" s="12"/>
      <c r="FI8" s="12"/>
      <c r="FJ8" s="12"/>
      <c r="FK8" s="12"/>
      <c r="FL8" s="12"/>
      <c r="FM8" s="12"/>
      <c r="FN8" s="12"/>
      <c r="FO8" s="12"/>
      <c r="FP8" s="12"/>
      <c r="FQ8" s="12"/>
      <c r="FR8" s="12"/>
      <c r="FS8" s="12"/>
      <c r="FT8" s="12"/>
      <c r="FU8" s="12"/>
      <c r="FV8" s="12"/>
      <c r="FW8" s="12"/>
      <c r="FX8" s="12"/>
      <c r="FY8" s="12"/>
      <c r="FZ8" s="12"/>
      <c r="GA8" s="12"/>
      <c r="GB8" s="12"/>
      <c r="GC8" s="12"/>
      <c r="GD8" s="12"/>
      <c r="GE8" s="12"/>
      <c r="GF8" s="12"/>
    </row>
    <row r="9" spans="1:188" ht="15.75" customHeight="1" x14ac:dyDescent="0.35">
      <c r="A9" s="19" t="s">
        <v>128</v>
      </c>
      <c r="B9" s="13" t="s">
        <v>58</v>
      </c>
      <c r="C9" s="7">
        <v>8</v>
      </c>
      <c r="D9" s="7" t="s">
        <v>165</v>
      </c>
      <c r="E9" s="7" t="s">
        <v>166</v>
      </c>
      <c r="F9" s="5" t="s">
        <v>128</v>
      </c>
      <c r="G9" s="8" t="s">
        <v>131</v>
      </c>
      <c r="H9" s="7" t="s">
        <v>104</v>
      </c>
      <c r="I9" s="7" t="s">
        <v>104</v>
      </c>
      <c r="J9" s="5" t="s">
        <v>167</v>
      </c>
      <c r="K9" s="8" t="s">
        <v>133</v>
      </c>
      <c r="L9" s="7" t="s">
        <v>134</v>
      </c>
      <c r="M9" s="7" t="s">
        <v>107</v>
      </c>
      <c r="N9" s="7" t="s">
        <v>107</v>
      </c>
      <c r="O9" s="11" t="s">
        <v>168</v>
      </c>
      <c r="P9" s="11" t="s">
        <v>104</v>
      </c>
      <c r="Q9" s="8" t="s">
        <v>169</v>
      </c>
      <c r="R9" s="7" t="s">
        <v>170</v>
      </c>
      <c r="S9" s="7" t="s">
        <v>138</v>
      </c>
      <c r="T9" s="7" t="s">
        <v>139</v>
      </c>
      <c r="U9" s="7" t="s">
        <v>74</v>
      </c>
      <c r="V9" s="7" t="s">
        <v>140</v>
      </c>
      <c r="W9" s="7" t="s">
        <v>74</v>
      </c>
      <c r="X9" s="7" t="s">
        <v>70</v>
      </c>
      <c r="Y9" s="11" t="s">
        <v>171</v>
      </c>
      <c r="Z9" s="11" t="s">
        <v>172</v>
      </c>
      <c r="AA9" s="17" t="s">
        <v>143</v>
      </c>
      <c r="AB9" s="17" t="s">
        <v>104</v>
      </c>
      <c r="AC9" s="17" t="s">
        <v>104</v>
      </c>
      <c r="AD9" s="7" t="s">
        <v>76</v>
      </c>
      <c r="AE9" s="7" t="s">
        <v>76</v>
      </c>
      <c r="AF9" s="18" t="s">
        <v>173</v>
      </c>
      <c r="AG9" s="14" t="s">
        <v>104</v>
      </c>
      <c r="AH9" s="14" t="s">
        <v>104</v>
      </c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  <c r="DK9" s="12"/>
      <c r="DL9" s="12"/>
      <c r="DM9" s="12"/>
      <c r="DN9" s="12"/>
      <c r="DO9" s="12"/>
      <c r="DP9" s="12"/>
      <c r="DQ9" s="12"/>
      <c r="DR9" s="12"/>
      <c r="DS9" s="12"/>
      <c r="DT9" s="12"/>
      <c r="DU9" s="12"/>
      <c r="DV9" s="12"/>
      <c r="DW9" s="12"/>
      <c r="DX9" s="12"/>
      <c r="DY9" s="12"/>
      <c r="DZ9" s="12"/>
      <c r="EA9" s="12"/>
      <c r="EB9" s="12"/>
      <c r="EC9" s="12"/>
      <c r="ED9" s="12"/>
      <c r="EE9" s="12"/>
      <c r="EF9" s="12"/>
      <c r="EG9" s="12"/>
      <c r="EH9" s="12"/>
      <c r="EI9" s="12"/>
      <c r="EJ9" s="12"/>
      <c r="EK9" s="12"/>
      <c r="EL9" s="12"/>
      <c r="EM9" s="12"/>
      <c r="EN9" s="12"/>
      <c r="EO9" s="12"/>
      <c r="EP9" s="12"/>
      <c r="EQ9" s="12"/>
      <c r="ER9" s="12"/>
      <c r="ES9" s="12"/>
      <c r="ET9" s="12"/>
      <c r="EU9" s="12"/>
      <c r="EV9" s="12"/>
      <c r="EW9" s="12"/>
      <c r="EX9" s="12"/>
      <c r="EY9" s="12"/>
      <c r="EZ9" s="12"/>
      <c r="FA9" s="12"/>
      <c r="FB9" s="12"/>
      <c r="FC9" s="12"/>
      <c r="FD9" s="12"/>
      <c r="FE9" s="12"/>
      <c r="FF9" s="12"/>
      <c r="FG9" s="12"/>
      <c r="FH9" s="12"/>
      <c r="FI9" s="12"/>
      <c r="FJ9" s="12"/>
      <c r="FK9" s="12"/>
      <c r="FL9" s="12"/>
      <c r="FM9" s="12"/>
      <c r="FN9" s="12"/>
      <c r="FO9" s="12"/>
      <c r="FP9" s="12"/>
      <c r="FQ9" s="12"/>
      <c r="FR9" s="12"/>
      <c r="FS9" s="12"/>
      <c r="FT9" s="12"/>
      <c r="FU9" s="12"/>
      <c r="FV9" s="12"/>
      <c r="FW9" s="12"/>
      <c r="FX9" s="12"/>
      <c r="FY9" s="12"/>
      <c r="FZ9" s="12"/>
      <c r="GA9" s="12"/>
      <c r="GB9" s="12"/>
      <c r="GC9" s="12"/>
      <c r="GD9" s="12"/>
      <c r="GE9" s="12"/>
      <c r="GF9" s="12"/>
    </row>
    <row r="10" spans="1:188" ht="15.75" customHeight="1" x14ac:dyDescent="0.35">
      <c r="A10" s="19" t="s">
        <v>174</v>
      </c>
      <c r="B10" s="13" t="s">
        <v>58</v>
      </c>
      <c r="C10" s="7">
        <v>9</v>
      </c>
      <c r="D10" s="7" t="s">
        <v>165</v>
      </c>
      <c r="E10" s="7" t="s">
        <v>175</v>
      </c>
      <c r="F10" s="5" t="s">
        <v>174</v>
      </c>
      <c r="G10" s="8" t="s">
        <v>176</v>
      </c>
      <c r="H10" s="7" t="s">
        <v>177</v>
      </c>
      <c r="I10" s="7" t="s">
        <v>104</v>
      </c>
      <c r="J10" s="5" t="s">
        <v>167</v>
      </c>
      <c r="K10" s="8" t="s">
        <v>178</v>
      </c>
      <c r="L10" s="7" t="s">
        <v>134</v>
      </c>
      <c r="M10" s="7" t="s">
        <v>107</v>
      </c>
      <c r="N10" s="7" t="s">
        <v>107</v>
      </c>
      <c r="O10" s="11" t="s">
        <v>179</v>
      </c>
      <c r="P10" s="11" t="s">
        <v>104</v>
      </c>
      <c r="Q10" s="8" t="s">
        <v>180</v>
      </c>
      <c r="R10" s="7" t="s">
        <v>71</v>
      </c>
      <c r="S10" s="7" t="s">
        <v>138</v>
      </c>
      <c r="T10" s="7" t="s">
        <v>139</v>
      </c>
      <c r="U10" s="7" t="s">
        <v>74</v>
      </c>
      <c r="V10" s="7" t="s">
        <v>140</v>
      </c>
      <c r="W10" s="7" t="s">
        <v>74</v>
      </c>
      <c r="X10" s="7" t="s">
        <v>70</v>
      </c>
      <c r="Y10" s="11" t="s">
        <v>181</v>
      </c>
      <c r="Z10" s="11" t="s">
        <v>182</v>
      </c>
      <c r="AA10" s="17" t="s">
        <v>183</v>
      </c>
      <c r="AB10" s="17" t="s">
        <v>184</v>
      </c>
      <c r="AC10" s="17" t="s">
        <v>185</v>
      </c>
      <c r="AD10" s="7" t="s">
        <v>76</v>
      </c>
      <c r="AE10" s="7" t="s">
        <v>76</v>
      </c>
      <c r="AF10" s="18" t="s">
        <v>173</v>
      </c>
      <c r="AG10" s="14" t="s">
        <v>104</v>
      </c>
      <c r="AH10" s="14" t="s">
        <v>104</v>
      </c>
      <c r="AI10" s="7"/>
      <c r="AJ10" s="7"/>
      <c r="AK10" s="7"/>
      <c r="AL10" s="7"/>
      <c r="AM10" s="7"/>
      <c r="AN10" s="7"/>
      <c r="AO10" s="7" t="s">
        <v>186</v>
      </c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12"/>
      <c r="DD10" s="12"/>
      <c r="DE10" s="12"/>
      <c r="DF10" s="12"/>
      <c r="DG10" s="12"/>
      <c r="DH10" s="12"/>
      <c r="DI10" s="12"/>
      <c r="DJ10" s="12"/>
      <c r="DK10" s="12"/>
      <c r="DL10" s="12"/>
      <c r="DM10" s="12"/>
      <c r="DN10" s="12"/>
      <c r="DO10" s="12"/>
      <c r="DP10" s="12"/>
      <c r="DQ10" s="12"/>
      <c r="DR10" s="12"/>
      <c r="DS10" s="12"/>
      <c r="DT10" s="12"/>
      <c r="DU10" s="12"/>
      <c r="DV10" s="12"/>
      <c r="DW10" s="12"/>
      <c r="DX10" s="12"/>
      <c r="DY10" s="12"/>
      <c r="DZ10" s="12"/>
      <c r="EA10" s="12"/>
      <c r="EB10" s="12"/>
      <c r="EC10" s="12"/>
      <c r="ED10" s="12"/>
      <c r="EE10" s="12"/>
      <c r="EF10" s="12"/>
      <c r="EG10" s="12"/>
      <c r="EH10" s="12"/>
      <c r="EI10" s="12"/>
      <c r="EJ10" s="12"/>
      <c r="EK10" s="12"/>
      <c r="EL10" s="12"/>
      <c r="EM10" s="12"/>
      <c r="EN10" s="12"/>
      <c r="EO10" s="12"/>
      <c r="EP10" s="12"/>
      <c r="EQ10" s="12"/>
      <c r="ER10" s="12"/>
      <c r="ES10" s="12"/>
      <c r="ET10" s="12"/>
      <c r="EU10" s="12"/>
      <c r="EV10" s="12"/>
      <c r="EW10" s="12"/>
      <c r="EX10" s="12"/>
      <c r="EY10" s="12"/>
      <c r="EZ10" s="12"/>
      <c r="FA10" s="12"/>
      <c r="FB10" s="12"/>
      <c r="FC10" s="12"/>
      <c r="FD10" s="12"/>
      <c r="FE10" s="12"/>
      <c r="FF10" s="12"/>
      <c r="FG10" s="12"/>
      <c r="FH10" s="12"/>
      <c r="FI10" s="12"/>
      <c r="FJ10" s="12"/>
      <c r="FK10" s="12"/>
      <c r="FL10" s="12"/>
      <c r="FM10" s="12"/>
      <c r="FN10" s="12"/>
      <c r="FO10" s="12"/>
      <c r="FP10" s="12"/>
      <c r="FQ10" s="12"/>
      <c r="FR10" s="12"/>
      <c r="FS10" s="12"/>
      <c r="FT10" s="12"/>
      <c r="FU10" s="12"/>
      <c r="FV10" s="12"/>
      <c r="FW10" s="12"/>
      <c r="FX10" s="12"/>
      <c r="FY10" s="12"/>
      <c r="FZ10" s="12"/>
      <c r="GA10" s="12"/>
      <c r="GB10" s="12"/>
      <c r="GC10" s="12"/>
      <c r="GD10" s="12"/>
      <c r="GE10" s="12"/>
      <c r="GF10" s="12"/>
    </row>
    <row r="11" spans="1:188" ht="15.75" customHeight="1" x14ac:dyDescent="0.35">
      <c r="A11" s="19" t="s">
        <v>187</v>
      </c>
      <c r="B11" s="13" t="s">
        <v>58</v>
      </c>
      <c r="C11" s="7">
        <v>10</v>
      </c>
      <c r="D11" s="7" t="s">
        <v>165</v>
      </c>
      <c r="E11" s="7" t="s">
        <v>188</v>
      </c>
      <c r="F11" s="5" t="s">
        <v>187</v>
      </c>
      <c r="G11" s="8" t="s">
        <v>189</v>
      </c>
      <c r="H11" s="7" t="s">
        <v>104</v>
      </c>
      <c r="I11" s="7" t="s">
        <v>104</v>
      </c>
      <c r="J11" s="5" t="s">
        <v>167</v>
      </c>
      <c r="K11" s="8" t="s">
        <v>190</v>
      </c>
      <c r="L11" s="7" t="s">
        <v>134</v>
      </c>
      <c r="M11" s="7" t="s">
        <v>107</v>
      </c>
      <c r="N11" s="7" t="s">
        <v>107</v>
      </c>
      <c r="O11" s="11" t="s">
        <v>168</v>
      </c>
      <c r="P11" s="11" t="s">
        <v>104</v>
      </c>
      <c r="Q11" s="8" t="s">
        <v>191</v>
      </c>
      <c r="R11" s="7" t="s">
        <v>71</v>
      </c>
      <c r="S11" s="7" t="s">
        <v>138</v>
      </c>
      <c r="T11" s="7" t="s">
        <v>139</v>
      </c>
      <c r="U11" s="7" t="s">
        <v>74</v>
      </c>
      <c r="V11" s="7" t="s">
        <v>140</v>
      </c>
      <c r="W11" s="7" t="s">
        <v>74</v>
      </c>
      <c r="X11" s="7" t="s">
        <v>70</v>
      </c>
      <c r="Y11" s="11" t="s">
        <v>192</v>
      </c>
      <c r="Z11" s="11" t="s">
        <v>193</v>
      </c>
      <c r="AA11" s="17" t="s">
        <v>143</v>
      </c>
      <c r="AB11" s="17" t="s">
        <v>104</v>
      </c>
      <c r="AC11" s="17" t="s">
        <v>104</v>
      </c>
      <c r="AD11" s="7" t="s">
        <v>76</v>
      </c>
      <c r="AE11" s="7" t="s">
        <v>76</v>
      </c>
      <c r="AF11" s="18" t="s">
        <v>173</v>
      </c>
      <c r="AG11" s="14" t="s">
        <v>104</v>
      </c>
      <c r="AH11" s="14" t="s">
        <v>104</v>
      </c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  <c r="EX11" s="12"/>
      <c r="EY11" s="12"/>
      <c r="EZ11" s="12"/>
      <c r="FA11" s="12"/>
      <c r="FB11" s="12"/>
      <c r="FC11" s="12"/>
      <c r="FD11" s="12"/>
      <c r="FE11" s="12"/>
      <c r="FF11" s="12"/>
      <c r="FG11" s="12"/>
      <c r="FH11" s="12"/>
      <c r="FI11" s="12"/>
      <c r="FJ11" s="12"/>
      <c r="FK11" s="12"/>
      <c r="FL11" s="12"/>
      <c r="FM11" s="12"/>
      <c r="FN11" s="12"/>
      <c r="FO11" s="12"/>
      <c r="FP11" s="12"/>
      <c r="FQ11" s="12"/>
      <c r="FR11" s="12"/>
      <c r="FS11" s="12"/>
      <c r="FT11" s="12"/>
      <c r="FU11" s="12"/>
      <c r="FV11" s="12"/>
      <c r="FW11" s="12"/>
      <c r="FX11" s="12"/>
      <c r="FY11" s="12"/>
      <c r="FZ11" s="12"/>
      <c r="GA11" s="12"/>
      <c r="GB11" s="12"/>
      <c r="GC11" s="12"/>
      <c r="GD11" s="12"/>
      <c r="GE11" s="12"/>
      <c r="GF11" s="12"/>
    </row>
    <row r="12" spans="1:188" ht="15.75" customHeight="1" x14ac:dyDescent="0.35">
      <c r="A12" s="19" t="s">
        <v>156</v>
      </c>
      <c r="B12" s="13" t="s">
        <v>58</v>
      </c>
      <c r="C12" s="7">
        <v>11</v>
      </c>
      <c r="D12" s="7" t="s">
        <v>165</v>
      </c>
      <c r="E12" s="7" t="s">
        <v>194</v>
      </c>
      <c r="F12" s="5" t="s">
        <v>156</v>
      </c>
      <c r="G12" s="8" t="s">
        <v>158</v>
      </c>
      <c r="H12" s="7" t="s">
        <v>104</v>
      </c>
      <c r="I12" s="7" t="s">
        <v>104</v>
      </c>
      <c r="J12" s="5" t="s">
        <v>167</v>
      </c>
      <c r="K12" s="8" t="s">
        <v>160</v>
      </c>
      <c r="L12" s="7" t="s">
        <v>134</v>
      </c>
      <c r="M12" s="7" t="s">
        <v>107</v>
      </c>
      <c r="N12" s="7" t="s">
        <v>107</v>
      </c>
      <c r="O12" s="11" t="s">
        <v>179</v>
      </c>
      <c r="P12" s="11" t="s">
        <v>104</v>
      </c>
      <c r="Q12" s="8" t="s">
        <v>195</v>
      </c>
      <c r="R12" s="7" t="s">
        <v>137</v>
      </c>
      <c r="S12" s="7" t="s">
        <v>138</v>
      </c>
      <c r="T12" s="7" t="s">
        <v>139</v>
      </c>
      <c r="U12" s="7" t="s">
        <v>74</v>
      </c>
      <c r="V12" s="7" t="s">
        <v>140</v>
      </c>
      <c r="W12" s="7" t="s">
        <v>74</v>
      </c>
      <c r="X12" s="7" t="s">
        <v>70</v>
      </c>
      <c r="Y12" s="11" t="s">
        <v>196</v>
      </c>
      <c r="Z12" s="11" t="s">
        <v>197</v>
      </c>
      <c r="AA12" s="17" t="s">
        <v>198</v>
      </c>
      <c r="AB12" s="17" t="s">
        <v>199</v>
      </c>
      <c r="AC12" s="17" t="s">
        <v>200</v>
      </c>
      <c r="AD12" s="7" t="s">
        <v>76</v>
      </c>
      <c r="AE12" s="7" t="s">
        <v>76</v>
      </c>
      <c r="AF12" s="18" t="s">
        <v>173</v>
      </c>
      <c r="AG12" s="14" t="s">
        <v>104</v>
      </c>
      <c r="AH12" s="14" t="s">
        <v>104</v>
      </c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  <c r="FY12" s="12"/>
      <c r="FZ12" s="12"/>
      <c r="GA12" s="12"/>
      <c r="GB12" s="12"/>
      <c r="GC12" s="12"/>
      <c r="GD12" s="12"/>
      <c r="GE12" s="12"/>
      <c r="GF12" s="12"/>
    </row>
    <row r="13" spans="1:188" ht="15.75" customHeight="1" x14ac:dyDescent="0.35">
      <c r="A13" s="20" t="s">
        <v>128</v>
      </c>
      <c r="B13" s="13" t="s">
        <v>58</v>
      </c>
      <c r="C13" s="7">
        <v>12</v>
      </c>
      <c r="D13" s="7" t="s">
        <v>201</v>
      </c>
      <c r="E13" s="7" t="s">
        <v>202</v>
      </c>
      <c r="F13" s="5" t="s">
        <v>128</v>
      </c>
      <c r="G13" s="8" t="s">
        <v>131</v>
      </c>
      <c r="H13" s="7" t="s">
        <v>104</v>
      </c>
      <c r="I13" s="7" t="s">
        <v>104</v>
      </c>
      <c r="J13" s="5" t="s">
        <v>203</v>
      </c>
      <c r="K13" s="8" t="s">
        <v>133</v>
      </c>
      <c r="L13" s="7" t="s">
        <v>134</v>
      </c>
      <c r="M13" s="7" t="s">
        <v>204</v>
      </c>
      <c r="N13" s="7" t="s">
        <v>204</v>
      </c>
      <c r="O13" s="11" t="s">
        <v>205</v>
      </c>
      <c r="P13" s="11" t="s">
        <v>104</v>
      </c>
      <c r="Q13" s="8" t="s">
        <v>206</v>
      </c>
      <c r="R13" s="7" t="s">
        <v>71</v>
      </c>
      <c r="S13" s="7" t="s">
        <v>138</v>
      </c>
      <c r="T13" s="7" t="s">
        <v>139</v>
      </c>
      <c r="U13" s="7" t="s">
        <v>74</v>
      </c>
      <c r="V13" s="7" t="s">
        <v>140</v>
      </c>
      <c r="W13" s="7" t="s">
        <v>74</v>
      </c>
      <c r="X13" s="7" t="s">
        <v>70</v>
      </c>
      <c r="Y13" s="11" t="s">
        <v>207</v>
      </c>
      <c r="Z13" s="11" t="s">
        <v>208</v>
      </c>
      <c r="AA13" s="17" t="s">
        <v>209</v>
      </c>
      <c r="AB13" s="17" t="s">
        <v>104</v>
      </c>
      <c r="AC13" s="17" t="s">
        <v>210</v>
      </c>
      <c r="AD13" s="7" t="s">
        <v>76</v>
      </c>
      <c r="AE13" s="7" t="s">
        <v>76</v>
      </c>
      <c r="AF13" s="18" t="s">
        <v>173</v>
      </c>
      <c r="AG13" s="14" t="s">
        <v>104</v>
      </c>
      <c r="AH13" s="14" t="s">
        <v>104</v>
      </c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2"/>
      <c r="FT13" s="12"/>
      <c r="FU13" s="12"/>
      <c r="FV13" s="12"/>
      <c r="FW13" s="12"/>
      <c r="FX13" s="12"/>
      <c r="FY13" s="12"/>
      <c r="FZ13" s="12"/>
      <c r="GA13" s="12"/>
      <c r="GB13" s="12"/>
      <c r="GC13" s="12"/>
      <c r="GD13" s="12"/>
      <c r="GE13" s="12"/>
      <c r="GF13" s="12"/>
    </row>
    <row r="14" spans="1:188" ht="15.75" customHeight="1" x14ac:dyDescent="0.35">
      <c r="A14" s="20" t="s">
        <v>211</v>
      </c>
      <c r="B14" s="13" t="s">
        <v>58</v>
      </c>
      <c r="C14" s="7">
        <v>13</v>
      </c>
      <c r="D14" s="7" t="s">
        <v>201</v>
      </c>
      <c r="E14" s="7" t="s">
        <v>212</v>
      </c>
      <c r="F14" s="5" t="s">
        <v>213</v>
      </c>
      <c r="G14" s="8" t="s">
        <v>214</v>
      </c>
      <c r="H14" s="7" t="s">
        <v>104</v>
      </c>
      <c r="I14" s="7" t="s">
        <v>104</v>
      </c>
      <c r="J14" s="5" t="s">
        <v>203</v>
      </c>
      <c r="K14" s="8" t="s">
        <v>215</v>
      </c>
      <c r="L14" s="7" t="s">
        <v>134</v>
      </c>
      <c r="M14" s="7" t="s">
        <v>204</v>
      </c>
      <c r="N14" s="7" t="s">
        <v>204</v>
      </c>
      <c r="O14" s="11" t="s">
        <v>205</v>
      </c>
      <c r="P14" s="11" t="s">
        <v>104</v>
      </c>
      <c r="Q14" s="8" t="s">
        <v>216</v>
      </c>
      <c r="R14" s="7" t="s">
        <v>71</v>
      </c>
      <c r="S14" s="7" t="s">
        <v>138</v>
      </c>
      <c r="T14" s="7" t="s">
        <v>139</v>
      </c>
      <c r="U14" s="7" t="s">
        <v>74</v>
      </c>
      <c r="V14" s="7" t="s">
        <v>140</v>
      </c>
      <c r="W14" s="7" t="s">
        <v>74</v>
      </c>
      <c r="X14" s="7" t="s">
        <v>70</v>
      </c>
      <c r="Y14" s="21" t="s">
        <v>217</v>
      </c>
      <c r="Z14" s="11" t="s">
        <v>218</v>
      </c>
      <c r="AA14" s="17" t="s">
        <v>143</v>
      </c>
      <c r="AB14" s="17" t="s">
        <v>104</v>
      </c>
      <c r="AC14" s="17" t="s">
        <v>104</v>
      </c>
      <c r="AD14" s="7" t="s">
        <v>76</v>
      </c>
      <c r="AE14" s="7" t="s">
        <v>76</v>
      </c>
      <c r="AF14" s="18" t="s">
        <v>173</v>
      </c>
      <c r="AG14" s="14" t="s">
        <v>104</v>
      </c>
      <c r="AH14" s="14" t="s">
        <v>104</v>
      </c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  <c r="CV14" s="12"/>
      <c r="CW14" s="12"/>
      <c r="CX14" s="12"/>
      <c r="CY14" s="12"/>
      <c r="CZ14" s="12"/>
      <c r="DA14" s="12"/>
      <c r="DB14" s="12"/>
      <c r="DC14" s="12"/>
      <c r="DD14" s="12"/>
      <c r="DE14" s="12"/>
      <c r="DF14" s="12"/>
      <c r="DG14" s="12"/>
      <c r="DH14" s="12"/>
      <c r="DI14" s="12"/>
      <c r="DJ14" s="12"/>
      <c r="DK14" s="12"/>
      <c r="DL14" s="12"/>
      <c r="DM14" s="12"/>
      <c r="DN14" s="12"/>
      <c r="DO14" s="12"/>
      <c r="DP14" s="12"/>
      <c r="DQ14" s="12"/>
      <c r="DR14" s="12"/>
      <c r="DS14" s="12"/>
      <c r="DT14" s="12"/>
      <c r="DU14" s="12"/>
      <c r="DV14" s="12"/>
      <c r="DW14" s="12"/>
      <c r="DX14" s="12"/>
      <c r="DY14" s="12"/>
      <c r="DZ14" s="12"/>
      <c r="EA14" s="12"/>
      <c r="EB14" s="12"/>
      <c r="EC14" s="12"/>
      <c r="ED14" s="12"/>
      <c r="EE14" s="12"/>
      <c r="EF14" s="12"/>
      <c r="EG14" s="12"/>
      <c r="EH14" s="12"/>
      <c r="EI14" s="12"/>
      <c r="EJ14" s="12"/>
      <c r="EK14" s="12"/>
      <c r="EL14" s="12"/>
      <c r="EM14" s="12"/>
      <c r="EN14" s="12"/>
      <c r="EO14" s="12"/>
      <c r="EP14" s="12"/>
      <c r="EQ14" s="12"/>
      <c r="ER14" s="12"/>
      <c r="ES14" s="12"/>
      <c r="ET14" s="12"/>
      <c r="EU14" s="12"/>
      <c r="EV14" s="12"/>
      <c r="EW14" s="12"/>
      <c r="EX14" s="12"/>
      <c r="EY14" s="12"/>
      <c r="EZ14" s="12"/>
      <c r="FA14" s="12"/>
      <c r="FB14" s="12"/>
      <c r="FC14" s="12"/>
      <c r="FD14" s="12"/>
      <c r="FE14" s="12"/>
      <c r="FF14" s="12"/>
      <c r="FG14" s="12"/>
      <c r="FH14" s="12"/>
      <c r="FI14" s="12"/>
      <c r="FJ14" s="12"/>
      <c r="FK14" s="12"/>
      <c r="FL14" s="12"/>
      <c r="FM14" s="12"/>
      <c r="FN14" s="12"/>
      <c r="FO14" s="12"/>
      <c r="FP14" s="12"/>
      <c r="FQ14" s="12"/>
      <c r="FR14" s="12"/>
      <c r="FS14" s="12"/>
      <c r="FT14" s="12"/>
      <c r="FU14" s="12"/>
      <c r="FV14" s="12"/>
      <c r="FW14" s="12"/>
      <c r="FX14" s="12"/>
      <c r="FY14" s="12"/>
      <c r="FZ14" s="12"/>
      <c r="GA14" s="12"/>
      <c r="GB14" s="12"/>
      <c r="GC14" s="12"/>
      <c r="GD14" s="12"/>
      <c r="GE14" s="12"/>
      <c r="GF14" s="12"/>
    </row>
    <row r="15" spans="1:188" ht="15.75" customHeight="1" x14ac:dyDescent="0.35">
      <c r="A15" s="20" t="s">
        <v>156</v>
      </c>
      <c r="B15" s="13" t="s">
        <v>58</v>
      </c>
      <c r="C15" s="7">
        <v>14</v>
      </c>
      <c r="D15" s="7" t="s">
        <v>201</v>
      </c>
      <c r="E15" s="7" t="s">
        <v>219</v>
      </c>
      <c r="F15" s="5" t="s">
        <v>156</v>
      </c>
      <c r="G15" s="8" t="s">
        <v>158</v>
      </c>
      <c r="H15" s="7" t="s">
        <v>104</v>
      </c>
      <c r="I15" s="7" t="s">
        <v>104</v>
      </c>
      <c r="J15" s="5" t="s">
        <v>203</v>
      </c>
      <c r="K15" s="8" t="s">
        <v>160</v>
      </c>
      <c r="L15" s="7" t="s">
        <v>134</v>
      </c>
      <c r="M15" s="7" t="s">
        <v>204</v>
      </c>
      <c r="N15" s="7" t="s">
        <v>204</v>
      </c>
      <c r="O15" s="11" t="s">
        <v>205</v>
      </c>
      <c r="P15" s="11" t="s">
        <v>104</v>
      </c>
      <c r="Q15" s="8" t="s">
        <v>220</v>
      </c>
      <c r="R15" s="7" t="s">
        <v>71</v>
      </c>
      <c r="S15" s="7" t="s">
        <v>138</v>
      </c>
      <c r="T15" s="7" t="s">
        <v>139</v>
      </c>
      <c r="U15" s="7" t="s">
        <v>74</v>
      </c>
      <c r="V15" s="7" t="s">
        <v>140</v>
      </c>
      <c r="W15" s="7" t="s">
        <v>74</v>
      </c>
      <c r="X15" s="7" t="s">
        <v>70</v>
      </c>
      <c r="Y15" s="21" t="s">
        <v>221</v>
      </c>
      <c r="Z15" s="11" t="s">
        <v>222</v>
      </c>
      <c r="AA15" s="17" t="s">
        <v>143</v>
      </c>
      <c r="AB15" s="17" t="s">
        <v>104</v>
      </c>
      <c r="AC15" s="17" t="s">
        <v>104</v>
      </c>
      <c r="AD15" s="7" t="s">
        <v>76</v>
      </c>
      <c r="AE15" s="7" t="s">
        <v>76</v>
      </c>
      <c r="AF15" s="18" t="s">
        <v>173</v>
      </c>
      <c r="AG15" s="14" t="s">
        <v>104</v>
      </c>
      <c r="AH15" s="14" t="s">
        <v>104</v>
      </c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  <c r="DA15" s="12"/>
      <c r="DB15" s="12"/>
      <c r="DC15" s="12"/>
      <c r="DD15" s="12"/>
      <c r="DE15" s="12"/>
      <c r="DF15" s="12"/>
      <c r="DG15" s="12"/>
      <c r="DH15" s="12"/>
      <c r="DI15" s="12"/>
      <c r="DJ15" s="12"/>
      <c r="DK15" s="12"/>
      <c r="DL15" s="12"/>
      <c r="DM15" s="12"/>
      <c r="DN15" s="12"/>
      <c r="DO15" s="12"/>
      <c r="DP15" s="12"/>
      <c r="DQ15" s="12"/>
      <c r="DR15" s="12"/>
      <c r="DS15" s="12"/>
      <c r="DT15" s="12"/>
      <c r="DU15" s="12"/>
      <c r="DV15" s="12"/>
      <c r="DW15" s="12"/>
      <c r="DX15" s="12"/>
      <c r="DY15" s="12"/>
      <c r="DZ15" s="12"/>
      <c r="EA15" s="12"/>
      <c r="EB15" s="12"/>
      <c r="EC15" s="12"/>
      <c r="ED15" s="12"/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12"/>
      <c r="EQ15" s="12"/>
      <c r="ER15" s="12"/>
      <c r="ES15" s="12"/>
      <c r="ET15" s="12"/>
      <c r="EU15" s="12"/>
      <c r="EV15" s="12"/>
      <c r="EW15" s="12"/>
      <c r="EX15" s="12"/>
      <c r="EY15" s="12"/>
      <c r="EZ15" s="12"/>
      <c r="FA15" s="12"/>
      <c r="FB15" s="12"/>
      <c r="FC15" s="12"/>
      <c r="FD15" s="12"/>
      <c r="FE15" s="12"/>
      <c r="FF15" s="12"/>
      <c r="FG15" s="12"/>
      <c r="FH15" s="12"/>
      <c r="FI15" s="12"/>
      <c r="FJ15" s="12"/>
      <c r="FK15" s="12"/>
      <c r="FL15" s="12"/>
      <c r="FM15" s="12"/>
      <c r="FN15" s="12"/>
      <c r="FO15" s="12"/>
      <c r="FP15" s="12"/>
      <c r="FQ15" s="12"/>
      <c r="FR15" s="12"/>
      <c r="FS15" s="12"/>
      <c r="FT15" s="12"/>
      <c r="FU15" s="12"/>
      <c r="FV15" s="12"/>
      <c r="FW15" s="12"/>
      <c r="FX15" s="12"/>
      <c r="FY15" s="12"/>
      <c r="FZ15" s="12"/>
      <c r="GA15" s="12"/>
      <c r="GB15" s="12"/>
      <c r="GC15" s="12"/>
      <c r="GD15" s="12"/>
      <c r="GE15" s="12"/>
      <c r="GF15" s="12"/>
    </row>
    <row r="16" spans="1:188" ht="15.75" customHeight="1" x14ac:dyDescent="0.35">
      <c r="A16" s="20" t="s">
        <v>223</v>
      </c>
      <c r="B16" s="13" t="s">
        <v>58</v>
      </c>
      <c r="C16" s="7">
        <v>15</v>
      </c>
      <c r="D16" s="7" t="s">
        <v>201</v>
      </c>
      <c r="E16" s="7" t="s">
        <v>224</v>
      </c>
      <c r="F16" s="5" t="s">
        <v>223</v>
      </c>
      <c r="G16" s="8" t="s">
        <v>225</v>
      </c>
      <c r="H16" s="7" t="s">
        <v>226</v>
      </c>
      <c r="I16" s="7" t="s">
        <v>104</v>
      </c>
      <c r="J16" s="5" t="s">
        <v>203</v>
      </c>
      <c r="K16" s="8" t="s">
        <v>227</v>
      </c>
      <c r="L16" s="7" t="s">
        <v>134</v>
      </c>
      <c r="M16" s="7" t="s">
        <v>204</v>
      </c>
      <c r="N16" s="7" t="s">
        <v>204</v>
      </c>
      <c r="O16" s="11" t="s">
        <v>205</v>
      </c>
      <c r="P16" s="11" t="s">
        <v>104</v>
      </c>
      <c r="Q16" s="8" t="s">
        <v>228</v>
      </c>
      <c r="R16" s="7" t="s">
        <v>71</v>
      </c>
      <c r="S16" s="7" t="s">
        <v>138</v>
      </c>
      <c r="T16" s="7" t="s">
        <v>139</v>
      </c>
      <c r="U16" s="7" t="s">
        <v>74</v>
      </c>
      <c r="V16" s="7" t="s">
        <v>140</v>
      </c>
      <c r="W16" s="7" t="s">
        <v>74</v>
      </c>
      <c r="X16" s="7" t="s">
        <v>70</v>
      </c>
      <c r="Y16" s="21" t="s">
        <v>229</v>
      </c>
      <c r="Z16" s="11" t="s">
        <v>230</v>
      </c>
      <c r="AA16" s="17" t="s">
        <v>143</v>
      </c>
      <c r="AB16" s="17" t="s">
        <v>104</v>
      </c>
      <c r="AC16" s="17" t="s">
        <v>104</v>
      </c>
      <c r="AD16" s="7" t="s">
        <v>76</v>
      </c>
      <c r="AE16" s="7" t="s">
        <v>76</v>
      </c>
      <c r="AF16" s="18" t="s">
        <v>173</v>
      </c>
      <c r="AG16" s="14" t="s">
        <v>104</v>
      </c>
      <c r="AH16" s="14" t="s">
        <v>104</v>
      </c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12"/>
      <c r="DK16" s="12"/>
      <c r="DL16" s="12"/>
      <c r="DM16" s="12"/>
      <c r="DN16" s="12"/>
      <c r="DO16" s="12"/>
      <c r="DP16" s="12"/>
      <c r="DQ16" s="12"/>
      <c r="DR16" s="12"/>
      <c r="DS16" s="12"/>
      <c r="DT16" s="12"/>
      <c r="DU16" s="12"/>
      <c r="DV16" s="12"/>
      <c r="DW16" s="12"/>
      <c r="DX16" s="12"/>
      <c r="DY16" s="12"/>
      <c r="DZ16" s="12"/>
      <c r="EA16" s="12"/>
      <c r="EB16" s="12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2"/>
      <c r="EP16" s="12"/>
      <c r="EQ16" s="12"/>
      <c r="ER16" s="12"/>
      <c r="ES16" s="12"/>
      <c r="ET16" s="12"/>
      <c r="EU16" s="12"/>
      <c r="EV16" s="12"/>
      <c r="EW16" s="12"/>
      <c r="EX16" s="12"/>
      <c r="EY16" s="12"/>
      <c r="EZ16" s="12"/>
      <c r="FA16" s="12"/>
      <c r="FB16" s="12"/>
      <c r="FC16" s="12"/>
      <c r="FD16" s="12"/>
      <c r="FE16" s="12"/>
      <c r="FF16" s="12"/>
      <c r="FG16" s="12"/>
      <c r="FH16" s="12"/>
      <c r="FI16" s="12"/>
      <c r="FJ16" s="12"/>
      <c r="FK16" s="12"/>
      <c r="FL16" s="12"/>
      <c r="FM16" s="12"/>
      <c r="FN16" s="12"/>
      <c r="FO16" s="12"/>
      <c r="FP16" s="12"/>
      <c r="FQ16" s="12"/>
      <c r="FR16" s="12"/>
      <c r="FS16" s="12"/>
      <c r="FT16" s="12"/>
      <c r="FU16" s="12"/>
      <c r="FV16" s="12"/>
      <c r="FW16" s="12"/>
      <c r="FX16" s="12"/>
      <c r="FY16" s="12"/>
      <c r="FZ16" s="12"/>
      <c r="GA16" s="12"/>
      <c r="GB16" s="12"/>
      <c r="GC16" s="12"/>
      <c r="GD16" s="12"/>
      <c r="GE16" s="12"/>
      <c r="GF16" s="12"/>
    </row>
    <row r="17" spans="1:188" ht="15.75" customHeight="1" x14ac:dyDescent="0.35">
      <c r="A17" s="20" t="s">
        <v>145</v>
      </c>
      <c r="B17" s="13" t="s">
        <v>58</v>
      </c>
      <c r="C17" s="7">
        <v>16</v>
      </c>
      <c r="D17" s="7" t="s">
        <v>201</v>
      </c>
      <c r="E17" s="7" t="s">
        <v>231</v>
      </c>
      <c r="F17" s="5" t="s">
        <v>145</v>
      </c>
      <c r="G17" s="8" t="s">
        <v>147</v>
      </c>
      <c r="H17" s="7" t="s">
        <v>148</v>
      </c>
      <c r="I17" s="7" t="s">
        <v>104</v>
      </c>
      <c r="J17" s="5" t="s">
        <v>203</v>
      </c>
      <c r="K17" s="8" t="s">
        <v>149</v>
      </c>
      <c r="L17" s="7" t="s">
        <v>134</v>
      </c>
      <c r="M17" s="7" t="s">
        <v>204</v>
      </c>
      <c r="N17" s="7" t="s">
        <v>204</v>
      </c>
      <c r="O17" s="11" t="s">
        <v>205</v>
      </c>
      <c r="P17" s="11" t="s">
        <v>104</v>
      </c>
      <c r="Q17" s="8" t="s">
        <v>232</v>
      </c>
      <c r="R17" s="7" t="s">
        <v>71</v>
      </c>
      <c r="S17" s="7" t="s">
        <v>138</v>
      </c>
      <c r="T17" s="7" t="s">
        <v>139</v>
      </c>
      <c r="U17" s="7" t="s">
        <v>74</v>
      </c>
      <c r="V17" s="7" t="s">
        <v>140</v>
      </c>
      <c r="W17" s="7" t="s">
        <v>74</v>
      </c>
      <c r="X17" s="7" t="s">
        <v>70</v>
      </c>
      <c r="Y17" s="11" t="s">
        <v>233</v>
      </c>
      <c r="Z17" s="11" t="s">
        <v>234</v>
      </c>
      <c r="AA17" s="17" t="s">
        <v>235</v>
      </c>
      <c r="AB17" s="17" t="s">
        <v>236</v>
      </c>
      <c r="AC17" s="17" t="s">
        <v>237</v>
      </c>
      <c r="AD17" s="7" t="s">
        <v>76</v>
      </c>
      <c r="AE17" s="7" t="s">
        <v>76</v>
      </c>
      <c r="AF17" s="18" t="s">
        <v>173</v>
      </c>
      <c r="AG17" s="14" t="s">
        <v>104</v>
      </c>
      <c r="AH17" s="14" t="s">
        <v>104</v>
      </c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"/>
      <c r="DR17" s="12"/>
      <c r="DS17" s="12"/>
      <c r="DT17" s="12"/>
      <c r="DU17" s="12"/>
      <c r="DV17" s="12"/>
      <c r="DW17" s="12"/>
      <c r="DX17" s="12"/>
      <c r="DY17" s="12"/>
      <c r="DZ17" s="12"/>
      <c r="EA17" s="12"/>
      <c r="EB17" s="12"/>
      <c r="EC17" s="12"/>
      <c r="ED17" s="12"/>
      <c r="EE17" s="12"/>
      <c r="EF17" s="12"/>
      <c r="EG17" s="12"/>
      <c r="EH17" s="12"/>
      <c r="EI17" s="12"/>
      <c r="EJ17" s="12"/>
      <c r="EK17" s="12"/>
      <c r="EL17" s="12"/>
      <c r="EM17" s="12"/>
      <c r="EN17" s="12"/>
      <c r="EO17" s="12"/>
      <c r="EP17" s="12"/>
      <c r="EQ17" s="12"/>
      <c r="ER17" s="12"/>
      <c r="ES17" s="12"/>
      <c r="ET17" s="12"/>
      <c r="EU17" s="12"/>
      <c r="EV17" s="12"/>
      <c r="EW17" s="12"/>
      <c r="EX17" s="12"/>
      <c r="EY17" s="12"/>
      <c r="EZ17" s="12"/>
      <c r="FA17" s="12"/>
      <c r="FB17" s="12"/>
      <c r="FC17" s="12"/>
      <c r="FD17" s="12"/>
      <c r="FE17" s="12"/>
      <c r="FF17" s="12"/>
      <c r="FG17" s="12"/>
      <c r="FH17" s="12"/>
      <c r="FI17" s="12"/>
      <c r="FJ17" s="12"/>
      <c r="FK17" s="12"/>
      <c r="FL17" s="12"/>
      <c r="FM17" s="12"/>
      <c r="FN17" s="12"/>
      <c r="FO17" s="12"/>
      <c r="FP17" s="12"/>
      <c r="FQ17" s="12"/>
      <c r="FR17" s="12"/>
      <c r="FS17" s="12"/>
      <c r="FT17" s="12"/>
      <c r="FU17" s="12"/>
      <c r="FV17" s="12"/>
      <c r="FW17" s="12"/>
      <c r="FX17" s="12"/>
      <c r="FY17" s="12"/>
      <c r="FZ17" s="12"/>
      <c r="GA17" s="12"/>
      <c r="GB17" s="12"/>
      <c r="GC17" s="12"/>
      <c r="GD17" s="12"/>
      <c r="GE17" s="12"/>
      <c r="GF17" s="12"/>
    </row>
    <row r="18" spans="1:188" ht="15.75" customHeight="1" x14ac:dyDescent="0.35">
      <c r="A18" s="20" t="s">
        <v>238</v>
      </c>
      <c r="B18" s="13" t="s">
        <v>58</v>
      </c>
      <c r="C18" s="7">
        <v>17</v>
      </c>
      <c r="D18" s="7" t="s">
        <v>201</v>
      </c>
      <c r="E18" s="7" t="s">
        <v>239</v>
      </c>
      <c r="F18" s="5" t="s">
        <v>238</v>
      </c>
      <c r="G18" s="8" t="s">
        <v>238</v>
      </c>
      <c r="H18" s="7" t="s">
        <v>104</v>
      </c>
      <c r="I18" s="7" t="s">
        <v>104</v>
      </c>
      <c r="J18" s="5" t="s">
        <v>203</v>
      </c>
      <c r="K18" s="8" t="s">
        <v>240</v>
      </c>
      <c r="L18" s="7" t="s">
        <v>134</v>
      </c>
      <c r="M18" s="7" t="s">
        <v>204</v>
      </c>
      <c r="N18" s="7" t="s">
        <v>204</v>
      </c>
      <c r="O18" s="11" t="s">
        <v>205</v>
      </c>
      <c r="P18" s="11" t="s">
        <v>104</v>
      </c>
      <c r="Q18" s="8" t="s">
        <v>241</v>
      </c>
      <c r="R18" s="7" t="s">
        <v>71</v>
      </c>
      <c r="S18" s="7" t="s">
        <v>138</v>
      </c>
      <c r="T18" s="7" t="s">
        <v>139</v>
      </c>
      <c r="U18" s="7" t="s">
        <v>74</v>
      </c>
      <c r="V18" s="7" t="s">
        <v>140</v>
      </c>
      <c r="W18" s="7" t="s">
        <v>74</v>
      </c>
      <c r="X18" s="7" t="s">
        <v>70</v>
      </c>
      <c r="Y18" s="11" t="s">
        <v>242</v>
      </c>
      <c r="Z18" s="11" t="s">
        <v>243</v>
      </c>
      <c r="AA18" s="17" t="s">
        <v>143</v>
      </c>
      <c r="AB18" s="17" t="s">
        <v>104</v>
      </c>
      <c r="AC18" s="17" t="s">
        <v>104</v>
      </c>
      <c r="AD18" s="7" t="s">
        <v>76</v>
      </c>
      <c r="AE18" s="7" t="s">
        <v>76</v>
      </c>
      <c r="AF18" s="18" t="s">
        <v>173</v>
      </c>
      <c r="AG18" s="14" t="s">
        <v>104</v>
      </c>
      <c r="AH18" s="14" t="s">
        <v>104</v>
      </c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</row>
    <row r="19" spans="1:188" ht="15.75" customHeight="1" x14ac:dyDescent="0.35">
      <c r="A19" s="5" t="s">
        <v>145</v>
      </c>
      <c r="B19" s="13" t="s">
        <v>58</v>
      </c>
      <c r="C19" s="7">
        <v>18</v>
      </c>
      <c r="D19" s="7" t="s">
        <v>244</v>
      </c>
      <c r="E19" s="7" t="s">
        <v>245</v>
      </c>
      <c r="F19" s="5" t="s">
        <v>145</v>
      </c>
      <c r="G19" s="8" t="s">
        <v>147</v>
      </c>
      <c r="H19" s="7" t="s">
        <v>148</v>
      </c>
      <c r="I19" s="7" t="s">
        <v>104</v>
      </c>
      <c r="J19" s="5" t="s">
        <v>246</v>
      </c>
      <c r="K19" s="8" t="s">
        <v>149</v>
      </c>
      <c r="L19" s="7" t="s">
        <v>247</v>
      </c>
      <c r="M19" s="7" t="s">
        <v>248</v>
      </c>
      <c r="N19" s="7" t="s">
        <v>69</v>
      </c>
      <c r="O19" s="11" t="s">
        <v>1079</v>
      </c>
      <c r="P19" s="11" t="s">
        <v>1079</v>
      </c>
      <c r="Q19" s="8" t="s">
        <v>1079</v>
      </c>
      <c r="R19" s="7" t="s">
        <v>71</v>
      </c>
      <c r="S19" s="7" t="s">
        <v>125</v>
      </c>
      <c r="T19" s="7" t="s">
        <v>249</v>
      </c>
      <c r="U19" s="7" t="s">
        <v>74</v>
      </c>
      <c r="V19" s="7" t="s">
        <v>70</v>
      </c>
      <c r="W19" s="7" t="s">
        <v>70</v>
      </c>
      <c r="X19" s="7" t="s">
        <v>70</v>
      </c>
      <c r="Y19" s="11">
        <v>62600</v>
      </c>
      <c r="Z19" s="11">
        <f t="shared" ref="Z19:Z21" si="2">Y19/12</f>
        <v>5216.666666666667</v>
      </c>
      <c r="AA19" s="17" t="s">
        <v>143</v>
      </c>
      <c r="AB19" s="17" t="s">
        <v>104</v>
      </c>
      <c r="AC19" s="17" t="s">
        <v>104</v>
      </c>
      <c r="AD19" s="7" t="s">
        <v>76</v>
      </c>
      <c r="AE19" s="7" t="s">
        <v>76</v>
      </c>
      <c r="AF19" s="18" t="s">
        <v>173</v>
      </c>
      <c r="AG19" s="14" t="s">
        <v>104</v>
      </c>
      <c r="AH19" s="14" t="s">
        <v>104</v>
      </c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</row>
    <row r="20" spans="1:188" ht="15.75" customHeight="1" x14ac:dyDescent="0.35">
      <c r="A20" s="23" t="s">
        <v>250</v>
      </c>
      <c r="B20" s="13" t="s">
        <v>58</v>
      </c>
      <c r="C20" s="7">
        <v>19</v>
      </c>
      <c r="D20" s="7" t="s">
        <v>251</v>
      </c>
      <c r="E20" s="7" t="s">
        <v>252</v>
      </c>
      <c r="F20" s="8" t="s">
        <v>250</v>
      </c>
      <c r="G20" s="8" t="s">
        <v>253</v>
      </c>
      <c r="H20" s="24" t="s">
        <v>104</v>
      </c>
      <c r="I20" s="7" t="s">
        <v>104</v>
      </c>
      <c r="J20" s="5" t="s">
        <v>254</v>
      </c>
      <c r="K20" s="8" t="s">
        <v>255</v>
      </c>
      <c r="L20" s="7" t="s">
        <v>134</v>
      </c>
      <c r="M20" s="7" t="s">
        <v>59</v>
      </c>
      <c r="N20" s="7" t="s">
        <v>59</v>
      </c>
      <c r="O20" s="11">
        <v>7928054.1600000001</v>
      </c>
      <c r="P20" s="25" t="s">
        <v>137</v>
      </c>
      <c r="Q20" s="26" t="s">
        <v>256</v>
      </c>
      <c r="R20" s="7" t="s">
        <v>137</v>
      </c>
      <c r="S20" s="7" t="s">
        <v>257</v>
      </c>
      <c r="T20" s="7" t="s">
        <v>258</v>
      </c>
      <c r="U20" s="7" t="s">
        <v>74</v>
      </c>
      <c r="V20" s="7" t="s">
        <v>259</v>
      </c>
      <c r="W20" s="7" t="s">
        <v>74</v>
      </c>
      <c r="X20" s="7" t="s">
        <v>70</v>
      </c>
      <c r="Y20" s="11">
        <f>O20</f>
        <v>7928054.1600000001</v>
      </c>
      <c r="Z20" s="11">
        <f t="shared" si="2"/>
        <v>660671.18000000005</v>
      </c>
      <c r="AA20" s="17" t="s">
        <v>143</v>
      </c>
      <c r="AB20" s="17" t="s">
        <v>104</v>
      </c>
      <c r="AC20" s="17" t="s">
        <v>104</v>
      </c>
      <c r="AD20" s="7" t="s">
        <v>76</v>
      </c>
      <c r="AE20" s="7" t="s">
        <v>76</v>
      </c>
      <c r="AF20" s="7" t="s">
        <v>260</v>
      </c>
      <c r="AG20" s="14" t="s">
        <v>104</v>
      </c>
      <c r="AH20" s="14" t="s">
        <v>104</v>
      </c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</row>
    <row r="21" spans="1:188" ht="15.75" customHeight="1" x14ac:dyDescent="0.35">
      <c r="A21" s="5" t="s">
        <v>261</v>
      </c>
      <c r="B21" s="13" t="s">
        <v>58</v>
      </c>
      <c r="C21" s="7">
        <v>20</v>
      </c>
      <c r="D21" s="7" t="s">
        <v>262</v>
      </c>
      <c r="E21" s="7" t="s">
        <v>263</v>
      </c>
      <c r="F21" s="8" t="s">
        <v>264</v>
      </c>
      <c r="G21" s="8" t="s">
        <v>265</v>
      </c>
      <c r="H21" s="7" t="s">
        <v>266</v>
      </c>
      <c r="I21" s="7" t="s">
        <v>104</v>
      </c>
      <c r="J21" s="5" t="s">
        <v>267</v>
      </c>
      <c r="K21" s="8" t="s">
        <v>268</v>
      </c>
      <c r="L21" s="7" t="s">
        <v>134</v>
      </c>
      <c r="M21" s="7" t="s">
        <v>100</v>
      </c>
      <c r="N21" s="7" t="s">
        <v>100</v>
      </c>
      <c r="O21" s="11">
        <v>932240</v>
      </c>
      <c r="P21" s="11" t="s">
        <v>71</v>
      </c>
      <c r="Q21" s="26" t="s">
        <v>269</v>
      </c>
      <c r="R21" s="7" t="s">
        <v>71</v>
      </c>
      <c r="S21" s="7" t="s">
        <v>257</v>
      </c>
      <c r="T21" s="7" t="s">
        <v>270</v>
      </c>
      <c r="U21" s="7" t="s">
        <v>74</v>
      </c>
      <c r="V21" s="7" t="s">
        <v>270</v>
      </c>
      <c r="W21" s="7" t="s">
        <v>74</v>
      </c>
      <c r="X21" s="7" t="s">
        <v>70</v>
      </c>
      <c r="Y21" s="11">
        <v>150325.42000000001</v>
      </c>
      <c r="Z21" s="11">
        <f t="shared" si="2"/>
        <v>12527.118333333334</v>
      </c>
      <c r="AA21" s="11">
        <v>0</v>
      </c>
      <c r="AB21" s="11" t="s">
        <v>271</v>
      </c>
      <c r="AC21" s="11">
        <f>O21</f>
        <v>932240</v>
      </c>
      <c r="AD21" s="7" t="s">
        <v>76</v>
      </c>
      <c r="AE21" s="7" t="s">
        <v>76</v>
      </c>
      <c r="AF21" s="7" t="s">
        <v>173</v>
      </c>
      <c r="AG21" s="14" t="s">
        <v>104</v>
      </c>
      <c r="AH21" s="14" t="s">
        <v>104</v>
      </c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</row>
    <row r="22" spans="1:188" ht="15.75" customHeight="1" x14ac:dyDescent="0.35">
      <c r="A22" s="27" t="s">
        <v>272</v>
      </c>
      <c r="B22" s="13" t="s">
        <v>58</v>
      </c>
      <c r="C22" s="7">
        <v>21</v>
      </c>
      <c r="D22" s="7" t="s">
        <v>273</v>
      </c>
      <c r="E22" s="7" t="s">
        <v>274</v>
      </c>
      <c r="F22" s="5" t="s">
        <v>272</v>
      </c>
      <c r="G22" s="8" t="s">
        <v>104</v>
      </c>
      <c r="H22" s="7" t="s">
        <v>104</v>
      </c>
      <c r="I22" s="7" t="s">
        <v>104</v>
      </c>
      <c r="J22" s="5" t="s">
        <v>275</v>
      </c>
      <c r="K22" s="8" t="s">
        <v>276</v>
      </c>
      <c r="L22" s="7" t="s">
        <v>134</v>
      </c>
      <c r="M22" s="7" t="s">
        <v>124</v>
      </c>
      <c r="N22" s="7" t="s">
        <v>124</v>
      </c>
      <c r="O22" s="11" t="s">
        <v>277</v>
      </c>
      <c r="P22" s="11" t="s">
        <v>278</v>
      </c>
      <c r="Q22" s="8" t="s">
        <v>279</v>
      </c>
      <c r="R22" s="7" t="s">
        <v>278</v>
      </c>
      <c r="S22" s="7" t="s">
        <v>280</v>
      </c>
      <c r="T22" s="7" t="s">
        <v>281</v>
      </c>
      <c r="U22" s="7" t="s">
        <v>74</v>
      </c>
      <c r="V22" s="7" t="s">
        <v>140</v>
      </c>
      <c r="W22" s="7" t="s">
        <v>74</v>
      </c>
      <c r="X22" s="7" t="s">
        <v>70</v>
      </c>
      <c r="Y22" s="11" t="s">
        <v>282</v>
      </c>
      <c r="Z22" s="11" t="s">
        <v>283</v>
      </c>
      <c r="AA22" s="17" t="s">
        <v>143</v>
      </c>
      <c r="AB22" s="17" t="s">
        <v>104</v>
      </c>
      <c r="AC22" s="17" t="s">
        <v>104</v>
      </c>
      <c r="AD22" s="7" t="s">
        <v>76</v>
      </c>
      <c r="AE22" s="7" t="s">
        <v>76</v>
      </c>
      <c r="AF22" s="18" t="s">
        <v>284</v>
      </c>
      <c r="AG22" s="14" t="s">
        <v>104</v>
      </c>
      <c r="AH22" s="14" t="s">
        <v>104</v>
      </c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</row>
    <row r="23" spans="1:188" ht="15.75" customHeight="1" x14ac:dyDescent="0.35">
      <c r="A23" s="27" t="s">
        <v>174</v>
      </c>
      <c r="B23" s="13" t="s">
        <v>58</v>
      </c>
      <c r="C23" s="7">
        <v>22</v>
      </c>
      <c r="D23" s="7" t="s">
        <v>273</v>
      </c>
      <c r="E23" s="7" t="s">
        <v>285</v>
      </c>
      <c r="F23" s="5" t="s">
        <v>174</v>
      </c>
      <c r="G23" s="8" t="s">
        <v>176</v>
      </c>
      <c r="H23" s="7" t="s">
        <v>177</v>
      </c>
      <c r="I23" s="7" t="s">
        <v>104</v>
      </c>
      <c r="J23" s="5" t="s">
        <v>275</v>
      </c>
      <c r="K23" s="8" t="s">
        <v>178</v>
      </c>
      <c r="L23" s="7" t="s">
        <v>134</v>
      </c>
      <c r="M23" s="7" t="s">
        <v>124</v>
      </c>
      <c r="N23" s="7" t="s">
        <v>124</v>
      </c>
      <c r="O23" s="11" t="s">
        <v>277</v>
      </c>
      <c r="P23" s="11" t="s">
        <v>278</v>
      </c>
      <c r="Q23" s="8" t="s">
        <v>286</v>
      </c>
      <c r="R23" s="7" t="s">
        <v>278</v>
      </c>
      <c r="S23" s="7" t="s">
        <v>280</v>
      </c>
      <c r="T23" s="7" t="s">
        <v>281</v>
      </c>
      <c r="U23" s="7" t="s">
        <v>74</v>
      </c>
      <c r="V23" s="7" t="s">
        <v>140</v>
      </c>
      <c r="W23" s="7" t="s">
        <v>74</v>
      </c>
      <c r="X23" s="7" t="s">
        <v>70</v>
      </c>
      <c r="Y23" s="11" t="s">
        <v>287</v>
      </c>
      <c r="Z23" s="11" t="s">
        <v>288</v>
      </c>
      <c r="AA23" s="17" t="s">
        <v>143</v>
      </c>
      <c r="AB23" s="17" t="s">
        <v>104</v>
      </c>
      <c r="AC23" s="17" t="s">
        <v>104</v>
      </c>
      <c r="AD23" s="7" t="s">
        <v>76</v>
      </c>
      <c r="AE23" s="7" t="s">
        <v>76</v>
      </c>
      <c r="AF23" s="18" t="s">
        <v>284</v>
      </c>
      <c r="AG23" s="14" t="s">
        <v>104</v>
      </c>
      <c r="AH23" s="14" t="s">
        <v>104</v>
      </c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</row>
    <row r="24" spans="1:188" ht="15.75" customHeight="1" x14ac:dyDescent="0.35">
      <c r="A24" s="5" t="s">
        <v>289</v>
      </c>
      <c r="B24" s="13" t="s">
        <v>58</v>
      </c>
      <c r="C24" s="7">
        <v>23</v>
      </c>
      <c r="D24" s="7" t="s">
        <v>273</v>
      </c>
      <c r="E24" s="7" t="s">
        <v>290</v>
      </c>
      <c r="F24" s="5" t="s">
        <v>289</v>
      </c>
      <c r="G24" s="8" t="s">
        <v>291</v>
      </c>
      <c r="H24" s="7" t="s">
        <v>292</v>
      </c>
      <c r="I24" s="7" t="s">
        <v>104</v>
      </c>
      <c r="J24" s="5" t="s">
        <v>275</v>
      </c>
      <c r="K24" s="8" t="s">
        <v>293</v>
      </c>
      <c r="L24" s="7" t="s">
        <v>134</v>
      </c>
      <c r="M24" s="7" t="s">
        <v>124</v>
      </c>
      <c r="N24" s="7" t="s">
        <v>124</v>
      </c>
      <c r="O24" s="11" t="s">
        <v>277</v>
      </c>
      <c r="P24" s="11" t="s">
        <v>278</v>
      </c>
      <c r="Q24" s="8" t="s">
        <v>294</v>
      </c>
      <c r="R24" s="7" t="s">
        <v>278</v>
      </c>
      <c r="S24" s="7" t="s">
        <v>280</v>
      </c>
      <c r="T24" s="7" t="s">
        <v>281</v>
      </c>
      <c r="U24" s="7" t="s">
        <v>74</v>
      </c>
      <c r="V24" s="7" t="s">
        <v>140</v>
      </c>
      <c r="W24" s="7" t="s">
        <v>74</v>
      </c>
      <c r="X24" s="7" t="s">
        <v>70</v>
      </c>
      <c r="Y24" s="11" t="s">
        <v>295</v>
      </c>
      <c r="Z24" s="11" t="s">
        <v>296</v>
      </c>
      <c r="AA24" s="17" t="s">
        <v>143</v>
      </c>
      <c r="AB24" s="17" t="s">
        <v>104</v>
      </c>
      <c r="AC24" s="17" t="s">
        <v>104</v>
      </c>
      <c r="AD24" s="7" t="s">
        <v>76</v>
      </c>
      <c r="AE24" s="7" t="s">
        <v>76</v>
      </c>
      <c r="AF24" s="18" t="s">
        <v>284</v>
      </c>
      <c r="AG24" s="14" t="s">
        <v>104</v>
      </c>
      <c r="AH24" s="14" t="s">
        <v>104</v>
      </c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</row>
    <row r="25" spans="1:188" ht="15.75" customHeight="1" x14ac:dyDescent="0.35">
      <c r="A25" s="5" t="s">
        <v>297</v>
      </c>
      <c r="B25" s="13" t="s">
        <v>58</v>
      </c>
      <c r="C25" s="7">
        <v>24</v>
      </c>
      <c r="D25" s="7" t="s">
        <v>273</v>
      </c>
      <c r="E25" s="7" t="s">
        <v>298</v>
      </c>
      <c r="F25" s="5" t="s">
        <v>297</v>
      </c>
      <c r="G25" s="8" t="s">
        <v>104</v>
      </c>
      <c r="H25" s="7" t="s">
        <v>104</v>
      </c>
      <c r="I25" s="7" t="s">
        <v>104</v>
      </c>
      <c r="J25" s="5" t="s">
        <v>275</v>
      </c>
      <c r="K25" s="8" t="s">
        <v>299</v>
      </c>
      <c r="L25" s="7" t="s">
        <v>134</v>
      </c>
      <c r="M25" s="7" t="s">
        <v>124</v>
      </c>
      <c r="N25" s="7" t="s">
        <v>124</v>
      </c>
      <c r="O25" s="11" t="s">
        <v>277</v>
      </c>
      <c r="P25" s="11" t="s">
        <v>278</v>
      </c>
      <c r="Q25" s="8" t="s">
        <v>300</v>
      </c>
      <c r="R25" s="7" t="s">
        <v>278</v>
      </c>
      <c r="S25" s="7" t="s">
        <v>280</v>
      </c>
      <c r="T25" s="7" t="s">
        <v>281</v>
      </c>
      <c r="U25" s="7" t="s">
        <v>74</v>
      </c>
      <c r="V25" s="7" t="s">
        <v>140</v>
      </c>
      <c r="W25" s="7" t="s">
        <v>74</v>
      </c>
      <c r="X25" s="7" t="s">
        <v>70</v>
      </c>
      <c r="Y25" s="11" t="s">
        <v>301</v>
      </c>
      <c r="Z25" s="11" t="s">
        <v>302</v>
      </c>
      <c r="AA25" s="17" t="s">
        <v>143</v>
      </c>
      <c r="AB25" s="17" t="s">
        <v>104</v>
      </c>
      <c r="AC25" s="17" t="s">
        <v>104</v>
      </c>
      <c r="AD25" s="7" t="s">
        <v>76</v>
      </c>
      <c r="AE25" s="7" t="s">
        <v>76</v>
      </c>
      <c r="AF25" s="18" t="s">
        <v>284</v>
      </c>
      <c r="AG25" s="14" t="s">
        <v>104</v>
      </c>
      <c r="AH25" s="14" t="s">
        <v>104</v>
      </c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</row>
    <row r="26" spans="1:188" ht="15.75" customHeight="1" x14ac:dyDescent="0.35">
      <c r="A26" s="5" t="s">
        <v>303</v>
      </c>
      <c r="B26" s="13" t="s">
        <v>58</v>
      </c>
      <c r="C26" s="7">
        <v>25</v>
      </c>
      <c r="D26" s="7" t="s">
        <v>273</v>
      </c>
      <c r="E26" s="7" t="s">
        <v>304</v>
      </c>
      <c r="F26" s="5" t="s">
        <v>303</v>
      </c>
      <c r="G26" s="8" t="s">
        <v>104</v>
      </c>
      <c r="H26" s="7" t="s">
        <v>104</v>
      </c>
      <c r="I26" s="7" t="s">
        <v>104</v>
      </c>
      <c r="J26" s="5" t="s">
        <v>275</v>
      </c>
      <c r="K26" s="8" t="s">
        <v>305</v>
      </c>
      <c r="L26" s="7" t="s">
        <v>134</v>
      </c>
      <c r="M26" s="7" t="s">
        <v>124</v>
      </c>
      <c r="N26" s="7" t="s">
        <v>124</v>
      </c>
      <c r="O26" s="11" t="s">
        <v>277</v>
      </c>
      <c r="P26" s="11" t="s">
        <v>278</v>
      </c>
      <c r="Q26" s="8" t="s">
        <v>306</v>
      </c>
      <c r="R26" s="7" t="s">
        <v>278</v>
      </c>
      <c r="S26" s="7" t="s">
        <v>280</v>
      </c>
      <c r="T26" s="7" t="s">
        <v>281</v>
      </c>
      <c r="U26" s="7" t="s">
        <v>74</v>
      </c>
      <c r="V26" s="7" t="s">
        <v>140</v>
      </c>
      <c r="W26" s="7" t="s">
        <v>74</v>
      </c>
      <c r="X26" s="7" t="s">
        <v>70</v>
      </c>
      <c r="Y26" s="11" t="s">
        <v>307</v>
      </c>
      <c r="Z26" s="11" t="s">
        <v>308</v>
      </c>
      <c r="AA26" s="17" t="s">
        <v>143</v>
      </c>
      <c r="AB26" s="17" t="s">
        <v>104</v>
      </c>
      <c r="AC26" s="17" t="s">
        <v>104</v>
      </c>
      <c r="AD26" s="7" t="s">
        <v>76</v>
      </c>
      <c r="AE26" s="7" t="s">
        <v>76</v>
      </c>
      <c r="AF26" s="18" t="s">
        <v>284</v>
      </c>
      <c r="AG26" s="14" t="s">
        <v>104</v>
      </c>
      <c r="AH26" s="14" t="s">
        <v>104</v>
      </c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</row>
    <row r="27" spans="1:188" ht="15.75" customHeight="1" x14ac:dyDescent="0.35">
      <c r="A27" s="5" t="s">
        <v>309</v>
      </c>
      <c r="B27" s="13" t="s">
        <v>58</v>
      </c>
      <c r="C27" s="7">
        <v>26</v>
      </c>
      <c r="D27" s="7" t="s">
        <v>273</v>
      </c>
      <c r="E27" s="7" t="s">
        <v>310</v>
      </c>
      <c r="F27" s="5" t="s">
        <v>309</v>
      </c>
      <c r="G27" s="8" t="s">
        <v>104</v>
      </c>
      <c r="H27" s="7" t="s">
        <v>104</v>
      </c>
      <c r="I27" s="7" t="s">
        <v>104</v>
      </c>
      <c r="J27" s="5" t="s">
        <v>275</v>
      </c>
      <c r="K27" s="8" t="s">
        <v>311</v>
      </c>
      <c r="L27" s="7" t="s">
        <v>134</v>
      </c>
      <c r="M27" s="7" t="s">
        <v>124</v>
      </c>
      <c r="N27" s="7" t="s">
        <v>124</v>
      </c>
      <c r="O27" s="11" t="s">
        <v>277</v>
      </c>
      <c r="P27" s="11" t="s">
        <v>278</v>
      </c>
      <c r="Q27" s="8" t="s">
        <v>312</v>
      </c>
      <c r="R27" s="7" t="s">
        <v>278</v>
      </c>
      <c r="S27" s="7" t="s">
        <v>280</v>
      </c>
      <c r="T27" s="7" t="s">
        <v>281</v>
      </c>
      <c r="U27" s="7" t="s">
        <v>74</v>
      </c>
      <c r="V27" s="7" t="s">
        <v>140</v>
      </c>
      <c r="W27" s="7" t="s">
        <v>74</v>
      </c>
      <c r="X27" s="7" t="s">
        <v>70</v>
      </c>
      <c r="Y27" s="11" t="s">
        <v>313</v>
      </c>
      <c r="Z27" s="11" t="s">
        <v>314</v>
      </c>
      <c r="AA27" s="17" t="s">
        <v>143</v>
      </c>
      <c r="AB27" s="17" t="s">
        <v>104</v>
      </c>
      <c r="AC27" s="17" t="s">
        <v>104</v>
      </c>
      <c r="AD27" s="7" t="s">
        <v>76</v>
      </c>
      <c r="AE27" s="7" t="s">
        <v>76</v>
      </c>
      <c r="AF27" s="18" t="s">
        <v>284</v>
      </c>
      <c r="AG27" s="14" t="s">
        <v>104</v>
      </c>
      <c r="AH27" s="14" t="s">
        <v>104</v>
      </c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</row>
    <row r="28" spans="1:188" ht="15.75" customHeight="1" x14ac:dyDescent="0.35">
      <c r="A28" s="5" t="s">
        <v>315</v>
      </c>
      <c r="B28" s="13" t="s">
        <v>58</v>
      </c>
      <c r="C28" s="7">
        <v>27</v>
      </c>
      <c r="D28" s="7" t="s">
        <v>316</v>
      </c>
      <c r="E28" s="7" t="s">
        <v>317</v>
      </c>
      <c r="F28" s="5" t="s">
        <v>315</v>
      </c>
      <c r="G28" s="8" t="s">
        <v>318</v>
      </c>
      <c r="H28" s="7" t="s">
        <v>319</v>
      </c>
      <c r="I28" s="7" t="s">
        <v>104</v>
      </c>
      <c r="J28" s="5" t="s">
        <v>320</v>
      </c>
      <c r="K28" s="8" t="s">
        <v>321</v>
      </c>
      <c r="L28" s="7" t="s">
        <v>322</v>
      </c>
      <c r="M28" s="7" t="s">
        <v>68</v>
      </c>
      <c r="N28" s="7" t="s">
        <v>68</v>
      </c>
      <c r="O28" s="11" t="s">
        <v>323</v>
      </c>
      <c r="P28" s="11" t="s">
        <v>104</v>
      </c>
      <c r="Q28" s="8" t="s">
        <v>324</v>
      </c>
      <c r="R28" s="7" t="s">
        <v>104</v>
      </c>
      <c r="S28" s="7" t="s">
        <v>138</v>
      </c>
      <c r="T28" s="7" t="s">
        <v>325</v>
      </c>
      <c r="U28" s="7" t="s">
        <v>74</v>
      </c>
      <c r="V28" s="7" t="s">
        <v>140</v>
      </c>
      <c r="W28" s="7" t="s">
        <v>74</v>
      </c>
      <c r="X28" s="7" t="s">
        <v>70</v>
      </c>
      <c r="Y28" s="11" t="s">
        <v>323</v>
      </c>
      <c r="Z28" s="11" t="s">
        <v>326</v>
      </c>
      <c r="AA28" s="17" t="s">
        <v>143</v>
      </c>
      <c r="AB28" s="17" t="s">
        <v>104</v>
      </c>
      <c r="AC28" s="17" t="s">
        <v>104</v>
      </c>
      <c r="AD28" s="7" t="s">
        <v>76</v>
      </c>
      <c r="AE28" s="7" t="s">
        <v>76</v>
      </c>
      <c r="AF28" s="18" t="s">
        <v>173</v>
      </c>
      <c r="AG28" s="14" t="s">
        <v>104</v>
      </c>
      <c r="AH28" s="14" t="s">
        <v>104</v>
      </c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</row>
    <row r="29" spans="1:188" ht="15.75" customHeight="1" x14ac:dyDescent="0.35">
      <c r="A29" s="28" t="s">
        <v>327</v>
      </c>
      <c r="B29" s="13" t="s">
        <v>58</v>
      </c>
      <c r="C29" s="7">
        <v>28</v>
      </c>
      <c r="D29" s="7" t="s">
        <v>328</v>
      </c>
      <c r="E29" s="7" t="s">
        <v>329</v>
      </c>
      <c r="F29" s="5" t="s">
        <v>327</v>
      </c>
      <c r="G29" s="8" t="s">
        <v>330</v>
      </c>
      <c r="H29" s="7" t="s">
        <v>331</v>
      </c>
      <c r="I29" s="7" t="s">
        <v>104</v>
      </c>
      <c r="J29" s="5" t="s">
        <v>332</v>
      </c>
      <c r="K29" s="8" t="s">
        <v>333</v>
      </c>
      <c r="L29" s="7" t="s">
        <v>322</v>
      </c>
      <c r="M29" s="7" t="s">
        <v>107</v>
      </c>
      <c r="N29" s="7" t="s">
        <v>107</v>
      </c>
      <c r="O29" s="11" t="s">
        <v>334</v>
      </c>
      <c r="P29" s="11" t="s">
        <v>71</v>
      </c>
      <c r="Q29" s="8" t="s">
        <v>335</v>
      </c>
      <c r="R29" s="7" t="s">
        <v>71</v>
      </c>
      <c r="S29" s="7" t="s">
        <v>138</v>
      </c>
      <c r="T29" s="7" t="s">
        <v>336</v>
      </c>
      <c r="U29" s="7" t="s">
        <v>74</v>
      </c>
      <c r="V29" s="7" t="s">
        <v>336</v>
      </c>
      <c r="W29" s="7" t="s">
        <v>74</v>
      </c>
      <c r="X29" s="7" t="s">
        <v>70</v>
      </c>
      <c r="Y29" s="11" t="s">
        <v>337</v>
      </c>
      <c r="Z29" s="11" t="s">
        <v>338</v>
      </c>
      <c r="AA29" s="17" t="s">
        <v>143</v>
      </c>
      <c r="AB29" s="17" t="s">
        <v>104</v>
      </c>
      <c r="AC29" s="17" t="s">
        <v>104</v>
      </c>
      <c r="AD29" s="7" t="s">
        <v>76</v>
      </c>
      <c r="AE29" s="7" t="s">
        <v>76</v>
      </c>
      <c r="AF29" s="18" t="s">
        <v>173</v>
      </c>
      <c r="AG29" s="14" t="s">
        <v>104</v>
      </c>
      <c r="AH29" s="14" t="s">
        <v>104</v>
      </c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</row>
    <row r="30" spans="1:188" ht="15.75" customHeight="1" x14ac:dyDescent="0.35">
      <c r="A30" s="23" t="s">
        <v>339</v>
      </c>
      <c r="B30" s="13" t="s">
        <v>58</v>
      </c>
      <c r="C30" s="7">
        <v>29</v>
      </c>
      <c r="D30" s="7" t="s">
        <v>328</v>
      </c>
      <c r="E30" s="7" t="s">
        <v>340</v>
      </c>
      <c r="F30" s="5" t="s">
        <v>341</v>
      </c>
      <c r="G30" s="8" t="s">
        <v>342</v>
      </c>
      <c r="H30" s="7" t="s">
        <v>343</v>
      </c>
      <c r="I30" s="7" t="s">
        <v>104</v>
      </c>
      <c r="J30" s="5" t="s">
        <v>332</v>
      </c>
      <c r="K30" s="8" t="s">
        <v>344</v>
      </c>
      <c r="L30" s="7" t="s">
        <v>322</v>
      </c>
      <c r="M30" s="7" t="s">
        <v>107</v>
      </c>
      <c r="N30" s="7" t="s">
        <v>107</v>
      </c>
      <c r="O30" s="11" t="s">
        <v>334</v>
      </c>
      <c r="P30" s="11" t="s">
        <v>71</v>
      </c>
      <c r="Q30" s="8" t="s">
        <v>345</v>
      </c>
      <c r="R30" s="7" t="s">
        <v>71</v>
      </c>
      <c r="S30" s="7" t="s">
        <v>138</v>
      </c>
      <c r="T30" s="7" t="s">
        <v>336</v>
      </c>
      <c r="U30" s="7" t="s">
        <v>74</v>
      </c>
      <c r="V30" s="7" t="s">
        <v>336</v>
      </c>
      <c r="W30" s="7" t="s">
        <v>74</v>
      </c>
      <c r="X30" s="7" t="s">
        <v>70</v>
      </c>
      <c r="Y30" s="11" t="s">
        <v>346</v>
      </c>
      <c r="Z30" s="11" t="s">
        <v>347</v>
      </c>
      <c r="AA30" s="17" t="s">
        <v>143</v>
      </c>
      <c r="AB30" s="17" t="s">
        <v>104</v>
      </c>
      <c r="AC30" s="17" t="s">
        <v>104</v>
      </c>
      <c r="AD30" s="7" t="s">
        <v>76</v>
      </c>
      <c r="AE30" s="7" t="s">
        <v>76</v>
      </c>
      <c r="AF30" s="18" t="s">
        <v>173</v>
      </c>
      <c r="AG30" s="14" t="s">
        <v>104</v>
      </c>
      <c r="AH30" s="14" t="s">
        <v>104</v>
      </c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</row>
    <row r="31" spans="1:188" ht="15.75" customHeight="1" x14ac:dyDescent="0.35">
      <c r="A31" s="5" t="s">
        <v>348</v>
      </c>
      <c r="B31" s="13" t="s">
        <v>58</v>
      </c>
      <c r="C31" s="7">
        <v>30</v>
      </c>
      <c r="D31" s="7" t="s">
        <v>349</v>
      </c>
      <c r="E31" s="7" t="s">
        <v>350</v>
      </c>
      <c r="F31" s="5" t="s">
        <v>351</v>
      </c>
      <c r="G31" s="8" t="s">
        <v>352</v>
      </c>
      <c r="H31" s="7" t="s">
        <v>353</v>
      </c>
      <c r="I31" s="7" t="s">
        <v>104</v>
      </c>
      <c r="J31" s="5" t="s">
        <v>354</v>
      </c>
      <c r="K31" s="8" t="s">
        <v>355</v>
      </c>
      <c r="L31" s="7" t="s">
        <v>247</v>
      </c>
      <c r="M31" s="7" t="s">
        <v>349</v>
      </c>
      <c r="N31" s="7" t="s">
        <v>69</v>
      </c>
      <c r="O31" s="11" t="s">
        <v>1079</v>
      </c>
      <c r="P31" s="11" t="s">
        <v>1079</v>
      </c>
      <c r="Q31" s="7" t="s">
        <v>1079</v>
      </c>
      <c r="R31" s="7" t="s">
        <v>71</v>
      </c>
      <c r="S31" s="7" t="s">
        <v>280</v>
      </c>
      <c r="T31" s="7"/>
      <c r="U31" s="7" t="s">
        <v>104</v>
      </c>
      <c r="V31" s="7" t="s">
        <v>70</v>
      </c>
      <c r="W31" s="7" t="s">
        <v>70</v>
      </c>
      <c r="X31" s="7" t="s">
        <v>70</v>
      </c>
      <c r="Y31" s="11" t="s">
        <v>356</v>
      </c>
      <c r="Z31" s="11" t="s">
        <v>357</v>
      </c>
      <c r="AA31" s="17" t="s">
        <v>143</v>
      </c>
      <c r="AB31" s="17" t="s">
        <v>104</v>
      </c>
      <c r="AC31" s="17" t="s">
        <v>104</v>
      </c>
      <c r="AD31" s="7" t="s">
        <v>358</v>
      </c>
      <c r="AE31" s="7" t="s">
        <v>76</v>
      </c>
      <c r="AF31" s="18" t="s">
        <v>173</v>
      </c>
      <c r="AG31" s="14" t="s">
        <v>104</v>
      </c>
      <c r="AH31" s="14" t="s">
        <v>104</v>
      </c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</row>
    <row r="32" spans="1:188" ht="15.75" customHeight="1" x14ac:dyDescent="0.35">
      <c r="A32" s="5" t="s">
        <v>359</v>
      </c>
      <c r="B32" s="29" t="s">
        <v>58</v>
      </c>
      <c r="C32" s="7">
        <v>31</v>
      </c>
      <c r="D32" s="7" t="s">
        <v>360</v>
      </c>
      <c r="E32" s="7" t="s">
        <v>361</v>
      </c>
      <c r="F32" s="8" t="s">
        <v>359</v>
      </c>
      <c r="G32" s="30" t="s">
        <v>362</v>
      </c>
      <c r="H32" s="7" t="s">
        <v>363</v>
      </c>
      <c r="I32" s="7" t="s">
        <v>104</v>
      </c>
      <c r="J32" s="5" t="s">
        <v>364</v>
      </c>
      <c r="K32" s="8" t="s">
        <v>365</v>
      </c>
      <c r="L32" s="7" t="s">
        <v>67</v>
      </c>
      <c r="M32" s="7" t="s">
        <v>366</v>
      </c>
      <c r="N32" s="7" t="s">
        <v>69</v>
      </c>
      <c r="O32" s="7" t="s">
        <v>1079</v>
      </c>
      <c r="P32" s="7" t="s">
        <v>1079</v>
      </c>
      <c r="Q32" s="7" t="s">
        <v>1079</v>
      </c>
      <c r="R32" s="7" t="s">
        <v>71</v>
      </c>
      <c r="S32" s="7" t="s">
        <v>125</v>
      </c>
      <c r="T32" s="7" t="s">
        <v>367</v>
      </c>
      <c r="U32" s="7" t="s">
        <v>74</v>
      </c>
      <c r="V32" s="7" t="s">
        <v>70</v>
      </c>
      <c r="W32" s="7" t="s">
        <v>70</v>
      </c>
      <c r="X32" s="7" t="s">
        <v>70</v>
      </c>
      <c r="Y32" s="11">
        <v>30000</v>
      </c>
      <c r="Z32" s="11">
        <f t="shared" ref="Z32:Z35" si="3">Y32/12</f>
        <v>2500</v>
      </c>
      <c r="AA32" s="17" t="s">
        <v>143</v>
      </c>
      <c r="AB32" s="17" t="s">
        <v>104</v>
      </c>
      <c r="AC32" s="17" t="s">
        <v>104</v>
      </c>
      <c r="AD32" s="7" t="s">
        <v>358</v>
      </c>
      <c r="AE32" s="7" t="s">
        <v>76</v>
      </c>
      <c r="AF32" s="7" t="s">
        <v>368</v>
      </c>
      <c r="AG32" s="14" t="s">
        <v>104</v>
      </c>
      <c r="AH32" s="14" t="s">
        <v>104</v>
      </c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</row>
    <row r="33" spans="1:188" ht="15.75" customHeight="1" x14ac:dyDescent="0.35">
      <c r="A33" s="5" t="s">
        <v>369</v>
      </c>
      <c r="B33" s="29" t="s">
        <v>58</v>
      </c>
      <c r="C33" s="7">
        <v>32</v>
      </c>
      <c r="D33" s="7" t="s">
        <v>370</v>
      </c>
      <c r="E33" s="7" t="s">
        <v>371</v>
      </c>
      <c r="F33" s="8" t="s">
        <v>369</v>
      </c>
      <c r="G33" s="8" t="s">
        <v>369</v>
      </c>
      <c r="H33" s="18" t="s">
        <v>372</v>
      </c>
      <c r="I33" s="7" t="s">
        <v>104</v>
      </c>
      <c r="J33" s="5" t="s">
        <v>373</v>
      </c>
      <c r="K33" s="8" t="s">
        <v>374</v>
      </c>
      <c r="L33" s="7" t="s">
        <v>67</v>
      </c>
      <c r="M33" s="7" t="s">
        <v>375</v>
      </c>
      <c r="N33" s="7" t="s">
        <v>69</v>
      </c>
      <c r="O33" s="7" t="s">
        <v>1079</v>
      </c>
      <c r="P33" s="7" t="s">
        <v>1079</v>
      </c>
      <c r="Q33" s="7" t="s">
        <v>1079</v>
      </c>
      <c r="R33" s="7" t="s">
        <v>71</v>
      </c>
      <c r="S33" s="7" t="s">
        <v>125</v>
      </c>
      <c r="T33" s="7" t="s">
        <v>367</v>
      </c>
      <c r="U33" s="7" t="s">
        <v>74</v>
      </c>
      <c r="V33" s="7" t="s">
        <v>70</v>
      </c>
      <c r="W33" s="7" t="s">
        <v>70</v>
      </c>
      <c r="X33" s="7" t="s">
        <v>70</v>
      </c>
      <c r="Y33" s="11">
        <v>50334</v>
      </c>
      <c r="Z33" s="11">
        <f t="shared" si="3"/>
        <v>4194.5</v>
      </c>
      <c r="AA33" s="17" t="s">
        <v>143</v>
      </c>
      <c r="AB33" s="17" t="s">
        <v>104</v>
      </c>
      <c r="AC33" s="17" t="s">
        <v>104</v>
      </c>
      <c r="AD33" s="7" t="s">
        <v>358</v>
      </c>
      <c r="AE33" s="7" t="s">
        <v>76</v>
      </c>
      <c r="AF33" s="7" t="s">
        <v>368</v>
      </c>
      <c r="AG33" s="14" t="s">
        <v>104</v>
      </c>
      <c r="AH33" s="14" t="s">
        <v>104</v>
      </c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</row>
    <row r="34" spans="1:188" ht="15.75" customHeight="1" x14ac:dyDescent="0.35">
      <c r="A34" s="5" t="s">
        <v>376</v>
      </c>
      <c r="B34" s="29" t="s">
        <v>58</v>
      </c>
      <c r="C34" s="7">
        <v>33</v>
      </c>
      <c r="D34" s="7" t="s">
        <v>377</v>
      </c>
      <c r="E34" s="7" t="s">
        <v>378</v>
      </c>
      <c r="F34" s="8" t="s">
        <v>379</v>
      </c>
      <c r="G34" s="8" t="s">
        <v>380</v>
      </c>
      <c r="H34" s="7" t="s">
        <v>381</v>
      </c>
      <c r="I34" s="7" t="s">
        <v>104</v>
      </c>
      <c r="J34" s="5" t="s">
        <v>382</v>
      </c>
      <c r="K34" s="8" t="s">
        <v>383</v>
      </c>
      <c r="L34" s="7" t="s">
        <v>67</v>
      </c>
      <c r="M34" s="7" t="s">
        <v>384</v>
      </c>
      <c r="N34" s="7" t="s">
        <v>69</v>
      </c>
      <c r="O34" s="7" t="s">
        <v>1079</v>
      </c>
      <c r="P34" s="7" t="s">
        <v>1079</v>
      </c>
      <c r="Q34" s="7" t="s">
        <v>1079</v>
      </c>
      <c r="R34" s="7" t="s">
        <v>71</v>
      </c>
      <c r="S34" s="7" t="s">
        <v>125</v>
      </c>
      <c r="T34" s="7" t="s">
        <v>367</v>
      </c>
      <c r="U34" s="7" t="s">
        <v>74</v>
      </c>
      <c r="V34" s="7" t="s">
        <v>70</v>
      </c>
      <c r="W34" s="7" t="s">
        <v>70</v>
      </c>
      <c r="X34" s="7" t="s">
        <v>70</v>
      </c>
      <c r="Y34" s="11">
        <v>5838</v>
      </c>
      <c r="Z34" s="11">
        <f t="shared" si="3"/>
        <v>486.5</v>
      </c>
      <c r="AA34" s="17" t="s">
        <v>143</v>
      </c>
      <c r="AB34" s="17" t="s">
        <v>104</v>
      </c>
      <c r="AC34" s="17" t="s">
        <v>104</v>
      </c>
      <c r="AD34" s="7" t="s">
        <v>358</v>
      </c>
      <c r="AE34" s="7" t="s">
        <v>76</v>
      </c>
      <c r="AF34" s="7" t="s">
        <v>368</v>
      </c>
      <c r="AG34" s="14" t="s">
        <v>104</v>
      </c>
      <c r="AH34" s="14" t="s">
        <v>104</v>
      </c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</row>
    <row r="35" spans="1:188" ht="15.75" customHeight="1" x14ac:dyDescent="0.35">
      <c r="A35" s="5" t="s">
        <v>385</v>
      </c>
      <c r="B35" s="29" t="s">
        <v>58</v>
      </c>
      <c r="C35" s="7">
        <v>34</v>
      </c>
      <c r="D35" s="7" t="s">
        <v>386</v>
      </c>
      <c r="E35" s="7" t="s">
        <v>387</v>
      </c>
      <c r="F35" s="8" t="s">
        <v>385</v>
      </c>
      <c r="G35" s="8" t="s">
        <v>388</v>
      </c>
      <c r="H35" s="18" t="s">
        <v>104</v>
      </c>
      <c r="I35" s="7" t="s">
        <v>104</v>
      </c>
      <c r="J35" s="5" t="s">
        <v>389</v>
      </c>
      <c r="K35" s="8" t="s">
        <v>390</v>
      </c>
      <c r="L35" s="7" t="s">
        <v>67</v>
      </c>
      <c r="M35" s="7" t="s">
        <v>391</v>
      </c>
      <c r="N35" s="7" t="s">
        <v>69</v>
      </c>
      <c r="O35" s="7" t="s">
        <v>1079</v>
      </c>
      <c r="P35" s="7" t="s">
        <v>1079</v>
      </c>
      <c r="Q35" s="7" t="s">
        <v>1079</v>
      </c>
      <c r="R35" s="7" t="s">
        <v>71</v>
      </c>
      <c r="S35" s="7" t="s">
        <v>392</v>
      </c>
      <c r="T35" s="7" t="s">
        <v>393</v>
      </c>
      <c r="U35" s="7" t="s">
        <v>74</v>
      </c>
      <c r="V35" s="7" t="s">
        <v>70</v>
      </c>
      <c r="W35" s="7" t="s">
        <v>70</v>
      </c>
      <c r="X35" s="7" t="s">
        <v>70</v>
      </c>
      <c r="Y35" s="11">
        <v>14520</v>
      </c>
      <c r="Z35" s="11">
        <f t="shared" si="3"/>
        <v>1210</v>
      </c>
      <c r="AA35" s="17" t="s">
        <v>143</v>
      </c>
      <c r="AB35" s="17" t="s">
        <v>104</v>
      </c>
      <c r="AC35" s="17" t="s">
        <v>104</v>
      </c>
      <c r="AD35" s="7" t="s">
        <v>358</v>
      </c>
      <c r="AE35" s="7" t="s">
        <v>76</v>
      </c>
      <c r="AF35" s="7" t="s">
        <v>368</v>
      </c>
      <c r="AG35" s="14" t="s">
        <v>104</v>
      </c>
      <c r="AH35" s="14" t="s">
        <v>104</v>
      </c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</row>
    <row r="36" spans="1:188" ht="15.75" customHeight="1" x14ac:dyDescent="0.35">
      <c r="A36" s="5" t="s">
        <v>394</v>
      </c>
      <c r="B36" s="29" t="s">
        <v>58</v>
      </c>
      <c r="C36" s="7">
        <v>35</v>
      </c>
      <c r="D36" s="7" t="s">
        <v>395</v>
      </c>
      <c r="E36" s="7" t="s">
        <v>396</v>
      </c>
      <c r="F36" s="8" t="s">
        <v>397</v>
      </c>
      <c r="G36" s="8" t="s">
        <v>398</v>
      </c>
      <c r="H36" s="7" t="s">
        <v>399</v>
      </c>
      <c r="I36" s="7" t="s">
        <v>104</v>
      </c>
      <c r="J36" s="31" t="s">
        <v>400</v>
      </c>
      <c r="K36" s="5" t="s">
        <v>401</v>
      </c>
      <c r="L36" s="7" t="s">
        <v>67</v>
      </c>
      <c r="M36" s="7" t="s">
        <v>248</v>
      </c>
      <c r="N36" s="7" t="s">
        <v>69</v>
      </c>
      <c r="O36" s="7" t="s">
        <v>1079</v>
      </c>
      <c r="P36" s="7" t="s">
        <v>1079</v>
      </c>
      <c r="Q36" s="7" t="s">
        <v>1079</v>
      </c>
      <c r="R36" s="7" t="s">
        <v>71</v>
      </c>
      <c r="S36" s="7" t="s">
        <v>392</v>
      </c>
      <c r="T36" s="7" t="s">
        <v>393</v>
      </c>
      <c r="U36" s="7" t="s">
        <v>74</v>
      </c>
      <c r="V36" s="7" t="s">
        <v>70</v>
      </c>
      <c r="W36" s="7" t="s">
        <v>70</v>
      </c>
      <c r="X36" s="7" t="s">
        <v>70</v>
      </c>
      <c r="Y36" s="11">
        <v>0</v>
      </c>
      <c r="Z36" s="11">
        <v>0</v>
      </c>
      <c r="AA36" s="32" t="s">
        <v>402</v>
      </c>
      <c r="AB36" s="17" t="s">
        <v>104</v>
      </c>
      <c r="AC36" s="17" t="s">
        <v>104</v>
      </c>
      <c r="AD36" s="7" t="s">
        <v>358</v>
      </c>
      <c r="AE36" s="7" t="s">
        <v>76</v>
      </c>
      <c r="AF36" s="7" t="s">
        <v>368</v>
      </c>
      <c r="AG36" s="14" t="s">
        <v>104</v>
      </c>
      <c r="AH36" s="14" t="s">
        <v>104</v>
      </c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</row>
    <row r="37" spans="1:188" ht="15.75" customHeight="1" x14ac:dyDescent="0.35">
      <c r="A37" s="33" t="s">
        <v>403</v>
      </c>
      <c r="B37" s="29" t="s">
        <v>58</v>
      </c>
      <c r="C37" s="7">
        <v>36</v>
      </c>
      <c r="D37" s="7" t="s">
        <v>404</v>
      </c>
      <c r="E37" s="7" t="s">
        <v>405</v>
      </c>
      <c r="F37" s="8" t="s">
        <v>406</v>
      </c>
      <c r="G37" s="34" t="s">
        <v>104</v>
      </c>
      <c r="H37" s="7" t="s">
        <v>407</v>
      </c>
      <c r="I37" s="35" t="s">
        <v>408</v>
      </c>
      <c r="J37" s="31" t="s">
        <v>409</v>
      </c>
      <c r="K37" s="8" t="s">
        <v>410</v>
      </c>
      <c r="L37" s="7" t="s">
        <v>411</v>
      </c>
      <c r="M37" s="7" t="s">
        <v>68</v>
      </c>
      <c r="N37" s="7" t="s">
        <v>70</v>
      </c>
      <c r="O37" s="7" t="s">
        <v>1079</v>
      </c>
      <c r="P37" s="7" t="s">
        <v>1079</v>
      </c>
      <c r="Q37" s="7" t="s">
        <v>1079</v>
      </c>
      <c r="R37" s="7" t="s">
        <v>137</v>
      </c>
      <c r="S37" s="7" t="s">
        <v>412</v>
      </c>
      <c r="T37" s="14" t="s">
        <v>104</v>
      </c>
      <c r="U37" s="7" t="s">
        <v>74</v>
      </c>
      <c r="V37" s="7" t="s">
        <v>70</v>
      </c>
      <c r="W37" s="7" t="s">
        <v>70</v>
      </c>
      <c r="X37" s="7" t="s">
        <v>413</v>
      </c>
      <c r="Y37" s="11" t="s">
        <v>414</v>
      </c>
      <c r="Z37" s="11" t="s">
        <v>415</v>
      </c>
      <c r="AA37" s="36" t="s">
        <v>143</v>
      </c>
      <c r="AB37" s="36" t="s">
        <v>104</v>
      </c>
      <c r="AC37" s="36" t="s">
        <v>104</v>
      </c>
      <c r="AD37" s="7" t="s">
        <v>358</v>
      </c>
      <c r="AE37" s="7" t="s">
        <v>76</v>
      </c>
      <c r="AF37" s="7" t="s">
        <v>260</v>
      </c>
      <c r="AG37" s="14" t="s">
        <v>104</v>
      </c>
      <c r="AH37" s="14" t="s">
        <v>104</v>
      </c>
      <c r="AI37" s="37"/>
      <c r="AJ37" s="37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37"/>
      <c r="AZ37" s="37"/>
      <c r="BA37" s="37"/>
      <c r="BB37" s="37"/>
      <c r="BC37" s="37"/>
      <c r="BD37" s="37"/>
      <c r="BE37" s="37"/>
      <c r="BF37" s="37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</row>
    <row r="38" spans="1:188" ht="15.75" customHeight="1" x14ac:dyDescent="0.35">
      <c r="A38" s="38" t="s">
        <v>416</v>
      </c>
      <c r="B38" s="29" t="s">
        <v>58</v>
      </c>
      <c r="C38" s="7">
        <v>37</v>
      </c>
      <c r="D38" s="7" t="s">
        <v>404</v>
      </c>
      <c r="E38" s="7" t="s">
        <v>417</v>
      </c>
      <c r="F38" s="8" t="s">
        <v>416</v>
      </c>
      <c r="G38" s="34" t="s">
        <v>104</v>
      </c>
      <c r="H38" s="14" t="s">
        <v>104</v>
      </c>
      <c r="I38" s="14" t="s">
        <v>104</v>
      </c>
      <c r="J38" s="31" t="s">
        <v>409</v>
      </c>
      <c r="K38" s="8" t="s">
        <v>418</v>
      </c>
      <c r="L38" s="7" t="s">
        <v>411</v>
      </c>
      <c r="M38" s="7" t="s">
        <v>68</v>
      </c>
      <c r="N38" s="7" t="s">
        <v>70</v>
      </c>
      <c r="O38" s="7" t="s">
        <v>1079</v>
      </c>
      <c r="P38" s="7" t="s">
        <v>1079</v>
      </c>
      <c r="Q38" s="7" t="s">
        <v>1079</v>
      </c>
      <c r="R38" s="7" t="s">
        <v>137</v>
      </c>
      <c r="S38" s="7" t="s">
        <v>412</v>
      </c>
      <c r="T38" s="7" t="s">
        <v>104</v>
      </c>
      <c r="U38" s="7" t="s">
        <v>74</v>
      </c>
      <c r="V38" s="7" t="s">
        <v>70</v>
      </c>
      <c r="W38" s="7" t="s">
        <v>70</v>
      </c>
      <c r="X38" s="7" t="s">
        <v>413</v>
      </c>
      <c r="Y38" s="11" t="s">
        <v>419</v>
      </c>
      <c r="Z38" s="11" t="s">
        <v>420</v>
      </c>
      <c r="AA38" s="17" t="s">
        <v>143</v>
      </c>
      <c r="AB38" s="17" t="s">
        <v>104</v>
      </c>
      <c r="AC38" s="17" t="s">
        <v>104</v>
      </c>
      <c r="AD38" s="7" t="s">
        <v>358</v>
      </c>
      <c r="AE38" s="7" t="s">
        <v>76</v>
      </c>
      <c r="AF38" s="7" t="s">
        <v>260</v>
      </c>
      <c r="AG38" s="14" t="s">
        <v>104</v>
      </c>
      <c r="AH38" s="14" t="s">
        <v>104</v>
      </c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</row>
    <row r="39" spans="1:188" ht="15.75" customHeight="1" x14ac:dyDescent="0.35">
      <c r="A39" s="38" t="s">
        <v>421</v>
      </c>
      <c r="B39" s="29" t="s">
        <v>58</v>
      </c>
      <c r="C39" s="7">
        <v>38</v>
      </c>
      <c r="D39" s="7" t="s">
        <v>404</v>
      </c>
      <c r="E39" s="7" t="s">
        <v>422</v>
      </c>
      <c r="F39" s="8" t="s">
        <v>421</v>
      </c>
      <c r="G39" s="34" t="s">
        <v>104</v>
      </c>
      <c r="H39" s="14" t="s">
        <v>104</v>
      </c>
      <c r="I39" s="14" t="s">
        <v>104</v>
      </c>
      <c r="J39" s="31" t="s">
        <v>409</v>
      </c>
      <c r="K39" s="8" t="s">
        <v>423</v>
      </c>
      <c r="L39" s="7" t="s">
        <v>411</v>
      </c>
      <c r="M39" s="7" t="s">
        <v>68</v>
      </c>
      <c r="N39" s="7" t="s">
        <v>70</v>
      </c>
      <c r="O39" s="7" t="s">
        <v>1079</v>
      </c>
      <c r="P39" s="7" t="s">
        <v>1079</v>
      </c>
      <c r="Q39" s="7" t="s">
        <v>1079</v>
      </c>
      <c r="R39" s="7" t="s">
        <v>137</v>
      </c>
      <c r="S39" s="7" t="s">
        <v>412</v>
      </c>
      <c r="T39" s="7" t="s">
        <v>104</v>
      </c>
      <c r="U39" s="7" t="s">
        <v>74</v>
      </c>
      <c r="V39" s="7" t="s">
        <v>70</v>
      </c>
      <c r="W39" s="7" t="s">
        <v>70</v>
      </c>
      <c r="X39" s="7" t="s">
        <v>413</v>
      </c>
      <c r="Y39" s="11" t="s">
        <v>424</v>
      </c>
      <c r="Z39" s="11" t="s">
        <v>425</v>
      </c>
      <c r="AA39" s="17" t="s">
        <v>143</v>
      </c>
      <c r="AB39" s="17" t="s">
        <v>104</v>
      </c>
      <c r="AC39" s="17" t="s">
        <v>104</v>
      </c>
      <c r="AD39" s="7" t="s">
        <v>358</v>
      </c>
      <c r="AE39" s="7" t="s">
        <v>76</v>
      </c>
      <c r="AF39" s="7" t="s">
        <v>260</v>
      </c>
      <c r="AG39" s="14" t="s">
        <v>104</v>
      </c>
      <c r="AH39" s="14" t="s">
        <v>104</v>
      </c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</row>
    <row r="40" spans="1:188" ht="15.75" customHeight="1" x14ac:dyDescent="0.35">
      <c r="A40" s="39" t="s">
        <v>426</v>
      </c>
      <c r="B40" s="29" t="s">
        <v>58</v>
      </c>
      <c r="C40" s="7">
        <v>39</v>
      </c>
      <c r="D40" s="7" t="s">
        <v>404</v>
      </c>
      <c r="E40" s="7" t="s">
        <v>427</v>
      </c>
      <c r="F40" s="8" t="s">
        <v>426</v>
      </c>
      <c r="G40" s="34" t="s">
        <v>104</v>
      </c>
      <c r="H40" s="14" t="s">
        <v>104</v>
      </c>
      <c r="I40" s="14" t="s">
        <v>104</v>
      </c>
      <c r="J40" s="31" t="s">
        <v>409</v>
      </c>
      <c r="K40" s="8" t="s">
        <v>428</v>
      </c>
      <c r="L40" s="7" t="s">
        <v>411</v>
      </c>
      <c r="M40" s="7" t="s">
        <v>68</v>
      </c>
      <c r="N40" s="7" t="s">
        <v>70</v>
      </c>
      <c r="O40" s="7" t="s">
        <v>1079</v>
      </c>
      <c r="P40" s="7" t="s">
        <v>1079</v>
      </c>
      <c r="Q40" s="7" t="s">
        <v>1079</v>
      </c>
      <c r="R40" s="7" t="s">
        <v>137</v>
      </c>
      <c r="S40" s="7" t="s">
        <v>412</v>
      </c>
      <c r="T40" s="7" t="s">
        <v>104</v>
      </c>
      <c r="U40" s="7" t="s">
        <v>74</v>
      </c>
      <c r="V40" s="7" t="s">
        <v>70</v>
      </c>
      <c r="W40" s="7" t="s">
        <v>70</v>
      </c>
      <c r="X40" s="7" t="s">
        <v>413</v>
      </c>
      <c r="Y40" s="11" t="s">
        <v>429</v>
      </c>
      <c r="Z40" s="11" t="s">
        <v>430</v>
      </c>
      <c r="AA40" s="17" t="s">
        <v>143</v>
      </c>
      <c r="AB40" s="17" t="s">
        <v>104</v>
      </c>
      <c r="AC40" s="17" t="s">
        <v>104</v>
      </c>
      <c r="AD40" s="7" t="s">
        <v>358</v>
      </c>
      <c r="AE40" s="7" t="s">
        <v>76</v>
      </c>
      <c r="AF40" s="7" t="s">
        <v>260</v>
      </c>
      <c r="AG40" s="14" t="s">
        <v>104</v>
      </c>
      <c r="AH40" s="14" t="s">
        <v>104</v>
      </c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</row>
    <row r="41" spans="1:188" ht="15.75" customHeight="1" x14ac:dyDescent="0.4">
      <c r="A41" s="39" t="s">
        <v>431</v>
      </c>
      <c r="B41" s="29" t="s">
        <v>58</v>
      </c>
      <c r="C41" s="7">
        <v>40</v>
      </c>
      <c r="D41" s="7" t="s">
        <v>404</v>
      </c>
      <c r="E41" s="7" t="s">
        <v>432</v>
      </c>
      <c r="F41" s="8" t="s">
        <v>431</v>
      </c>
      <c r="G41" s="34" t="s">
        <v>104</v>
      </c>
      <c r="H41" s="14" t="s">
        <v>104</v>
      </c>
      <c r="I41" s="14" t="s">
        <v>104</v>
      </c>
      <c r="J41" s="31" t="s">
        <v>409</v>
      </c>
      <c r="K41" s="8" t="s">
        <v>433</v>
      </c>
      <c r="L41" s="7" t="s">
        <v>411</v>
      </c>
      <c r="M41" s="7" t="s">
        <v>68</v>
      </c>
      <c r="N41" s="7" t="s">
        <v>70</v>
      </c>
      <c r="O41" s="7" t="s">
        <v>1079</v>
      </c>
      <c r="P41" s="7" t="s">
        <v>1079</v>
      </c>
      <c r="Q41" s="7" t="s">
        <v>1079</v>
      </c>
      <c r="R41" s="7" t="s">
        <v>137</v>
      </c>
      <c r="S41" s="7" t="s">
        <v>412</v>
      </c>
      <c r="T41" s="7" t="s">
        <v>104</v>
      </c>
      <c r="U41" s="7" t="s">
        <v>74</v>
      </c>
      <c r="V41" s="7" t="s">
        <v>70</v>
      </c>
      <c r="W41" s="7" t="s">
        <v>70</v>
      </c>
      <c r="X41" s="7" t="s">
        <v>413</v>
      </c>
      <c r="Y41" s="11" t="s">
        <v>434</v>
      </c>
      <c r="Z41" s="11" t="s">
        <v>435</v>
      </c>
      <c r="AA41" s="17" t="s">
        <v>143</v>
      </c>
      <c r="AB41" s="17" t="s">
        <v>104</v>
      </c>
      <c r="AC41" s="17" t="s">
        <v>104</v>
      </c>
      <c r="AD41" s="7" t="s">
        <v>358</v>
      </c>
      <c r="AE41" s="7" t="s">
        <v>76</v>
      </c>
      <c r="AF41" s="7" t="s">
        <v>260</v>
      </c>
      <c r="AG41" s="14" t="s">
        <v>104</v>
      </c>
      <c r="AH41" s="14" t="s">
        <v>104</v>
      </c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40"/>
      <c r="BH41" s="40"/>
      <c r="BI41" s="40"/>
      <c r="BJ41" s="40"/>
      <c r="BK41" s="40"/>
      <c r="BL41" s="40"/>
      <c r="BM41" s="40"/>
      <c r="BN41" s="40"/>
      <c r="BO41" s="40"/>
      <c r="BP41" s="40"/>
      <c r="BQ41" s="40"/>
      <c r="BR41" s="40"/>
      <c r="BS41" s="40"/>
      <c r="BT41" s="40"/>
      <c r="BU41" s="40"/>
      <c r="BV41" s="40"/>
      <c r="BW41" s="40"/>
      <c r="BX41" s="40"/>
      <c r="BY41" s="40"/>
      <c r="BZ41" s="40"/>
      <c r="CA41" s="40"/>
      <c r="CB41" s="40"/>
      <c r="CC41" s="40"/>
      <c r="CD41" s="40"/>
      <c r="CE41" s="40"/>
      <c r="CF41" s="40"/>
      <c r="CG41" s="40"/>
      <c r="CH41" s="40"/>
      <c r="CI41" s="40"/>
      <c r="CJ41" s="40"/>
      <c r="CK41" s="40"/>
      <c r="CL41" s="40"/>
      <c r="CM41" s="40"/>
      <c r="CN41" s="40"/>
      <c r="CO41" s="40"/>
      <c r="CP41" s="40"/>
      <c r="CQ41" s="40"/>
      <c r="CR41" s="40"/>
      <c r="CS41" s="40"/>
      <c r="CT41" s="40"/>
      <c r="CU41" s="40"/>
      <c r="CV41" s="40"/>
      <c r="CW41" s="40"/>
      <c r="CX41" s="40"/>
      <c r="CY41" s="40"/>
      <c r="CZ41" s="40"/>
      <c r="DA41" s="40"/>
      <c r="DB41" s="40"/>
      <c r="DC41" s="40"/>
      <c r="DD41" s="40"/>
      <c r="DE41" s="40"/>
      <c r="DF41" s="40"/>
      <c r="DG41" s="40"/>
      <c r="DH41" s="40"/>
      <c r="DI41" s="40"/>
      <c r="DJ41" s="40"/>
      <c r="DK41" s="40"/>
      <c r="DL41" s="40"/>
      <c r="DM41" s="40"/>
      <c r="DN41" s="40"/>
      <c r="DO41" s="40"/>
      <c r="DP41" s="40"/>
      <c r="DQ41" s="40"/>
      <c r="DR41" s="40"/>
      <c r="DS41" s="40"/>
      <c r="DT41" s="40"/>
      <c r="DU41" s="40"/>
      <c r="DV41" s="40"/>
      <c r="DW41" s="40"/>
      <c r="DX41" s="40"/>
      <c r="DY41" s="40"/>
      <c r="DZ41" s="40"/>
      <c r="EA41" s="40"/>
      <c r="EB41" s="40"/>
      <c r="EC41" s="40"/>
      <c r="ED41" s="40"/>
      <c r="EE41" s="40"/>
      <c r="EF41" s="40"/>
      <c r="EG41" s="40"/>
      <c r="EH41" s="40"/>
      <c r="EI41" s="40"/>
      <c r="EJ41" s="40"/>
      <c r="EK41" s="40"/>
      <c r="EL41" s="40"/>
      <c r="EM41" s="40"/>
      <c r="EN41" s="40"/>
      <c r="EO41" s="40"/>
      <c r="EP41" s="40"/>
      <c r="EQ41" s="40"/>
      <c r="ER41" s="40"/>
      <c r="ES41" s="40"/>
      <c r="ET41" s="40"/>
      <c r="EU41" s="40"/>
      <c r="EV41" s="40"/>
      <c r="EW41" s="40"/>
      <c r="EX41" s="40"/>
      <c r="EY41" s="40"/>
      <c r="EZ41" s="40"/>
      <c r="FA41" s="40"/>
      <c r="FB41" s="40"/>
      <c r="FC41" s="40"/>
      <c r="FD41" s="40"/>
      <c r="FE41" s="40"/>
      <c r="FF41" s="40"/>
      <c r="FG41" s="40"/>
      <c r="FH41" s="40"/>
      <c r="FI41" s="40"/>
      <c r="FJ41" s="40"/>
      <c r="FK41" s="40"/>
      <c r="FL41" s="40"/>
      <c r="FM41" s="40"/>
      <c r="FN41" s="40"/>
      <c r="FO41" s="40"/>
      <c r="FP41" s="40"/>
      <c r="FQ41" s="40"/>
      <c r="FR41" s="40"/>
      <c r="FS41" s="40"/>
      <c r="FT41" s="40"/>
      <c r="FU41" s="40"/>
      <c r="FV41" s="40"/>
      <c r="FW41" s="40"/>
      <c r="FX41" s="40"/>
      <c r="FY41" s="40"/>
      <c r="FZ41" s="40"/>
      <c r="GA41" s="40"/>
      <c r="GB41" s="40"/>
      <c r="GC41" s="40"/>
      <c r="GD41" s="40"/>
      <c r="GE41" s="40"/>
      <c r="GF41" s="40"/>
    </row>
    <row r="42" spans="1:188" ht="15.75" customHeight="1" x14ac:dyDescent="0.4">
      <c r="A42" s="39" t="s">
        <v>436</v>
      </c>
      <c r="B42" s="29" t="s">
        <v>58</v>
      </c>
      <c r="C42" s="7">
        <v>41</v>
      </c>
      <c r="D42" s="7" t="s">
        <v>404</v>
      </c>
      <c r="E42" s="7" t="s">
        <v>437</v>
      </c>
      <c r="F42" s="8" t="s">
        <v>436</v>
      </c>
      <c r="G42" s="34" t="s">
        <v>104</v>
      </c>
      <c r="H42" s="14" t="s">
        <v>104</v>
      </c>
      <c r="I42" s="14" t="s">
        <v>104</v>
      </c>
      <c r="J42" s="31" t="s">
        <v>409</v>
      </c>
      <c r="K42" s="8" t="s">
        <v>438</v>
      </c>
      <c r="L42" s="7" t="s">
        <v>411</v>
      </c>
      <c r="M42" s="7" t="s">
        <v>68</v>
      </c>
      <c r="N42" s="7" t="s">
        <v>70</v>
      </c>
      <c r="O42" s="7" t="s">
        <v>1079</v>
      </c>
      <c r="P42" s="7" t="s">
        <v>1079</v>
      </c>
      <c r="Q42" s="7" t="s">
        <v>1079</v>
      </c>
      <c r="R42" s="7" t="s">
        <v>137</v>
      </c>
      <c r="S42" s="7" t="s">
        <v>412</v>
      </c>
      <c r="T42" s="7" t="s">
        <v>104</v>
      </c>
      <c r="U42" s="7" t="s">
        <v>74</v>
      </c>
      <c r="V42" s="7" t="s">
        <v>70</v>
      </c>
      <c r="W42" s="7" t="s">
        <v>70</v>
      </c>
      <c r="X42" s="7" t="s">
        <v>413</v>
      </c>
      <c r="Y42" s="11" t="s">
        <v>439</v>
      </c>
      <c r="Z42" s="11" t="s">
        <v>440</v>
      </c>
      <c r="AA42" s="17" t="s">
        <v>143</v>
      </c>
      <c r="AB42" s="17" t="s">
        <v>104</v>
      </c>
      <c r="AC42" s="17" t="s">
        <v>104</v>
      </c>
      <c r="AD42" s="7" t="s">
        <v>358</v>
      </c>
      <c r="AE42" s="7" t="s">
        <v>76</v>
      </c>
      <c r="AF42" s="7" t="s">
        <v>260</v>
      </c>
      <c r="AG42" s="14" t="s">
        <v>104</v>
      </c>
      <c r="AH42" s="14" t="s">
        <v>104</v>
      </c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40"/>
      <c r="BH42" s="40"/>
      <c r="BI42" s="40"/>
      <c r="BJ42" s="40"/>
      <c r="BK42" s="40"/>
      <c r="BL42" s="40"/>
      <c r="BM42" s="40"/>
      <c r="BN42" s="40"/>
      <c r="BO42" s="40"/>
      <c r="BP42" s="40"/>
      <c r="BQ42" s="40"/>
      <c r="BR42" s="40"/>
      <c r="BS42" s="40"/>
      <c r="BT42" s="40"/>
      <c r="BU42" s="40"/>
      <c r="BV42" s="40"/>
      <c r="BW42" s="40"/>
      <c r="BX42" s="40"/>
      <c r="BY42" s="40"/>
      <c r="BZ42" s="40"/>
      <c r="CA42" s="40"/>
      <c r="CB42" s="40"/>
      <c r="CC42" s="40"/>
      <c r="CD42" s="40"/>
      <c r="CE42" s="40"/>
      <c r="CF42" s="40"/>
      <c r="CG42" s="40"/>
      <c r="CH42" s="40"/>
      <c r="CI42" s="40"/>
      <c r="CJ42" s="40"/>
      <c r="CK42" s="40"/>
      <c r="CL42" s="40"/>
      <c r="CM42" s="40"/>
      <c r="CN42" s="40"/>
      <c r="CO42" s="40"/>
      <c r="CP42" s="40"/>
      <c r="CQ42" s="40"/>
      <c r="CR42" s="40"/>
      <c r="CS42" s="40"/>
      <c r="CT42" s="40"/>
      <c r="CU42" s="40"/>
      <c r="CV42" s="40"/>
      <c r="CW42" s="40"/>
      <c r="CX42" s="40"/>
      <c r="CY42" s="40"/>
      <c r="CZ42" s="40"/>
      <c r="DA42" s="40"/>
      <c r="DB42" s="40"/>
      <c r="DC42" s="40"/>
      <c r="DD42" s="40"/>
      <c r="DE42" s="40"/>
      <c r="DF42" s="40"/>
      <c r="DG42" s="40"/>
      <c r="DH42" s="40"/>
      <c r="DI42" s="40"/>
      <c r="DJ42" s="40"/>
      <c r="DK42" s="40"/>
      <c r="DL42" s="40"/>
      <c r="DM42" s="40"/>
      <c r="DN42" s="40"/>
      <c r="DO42" s="40"/>
      <c r="DP42" s="40"/>
      <c r="DQ42" s="40"/>
      <c r="DR42" s="40"/>
      <c r="DS42" s="40"/>
      <c r="DT42" s="40"/>
      <c r="DU42" s="40"/>
      <c r="DV42" s="40"/>
      <c r="DW42" s="40"/>
      <c r="DX42" s="40"/>
      <c r="DY42" s="40"/>
      <c r="DZ42" s="40"/>
      <c r="EA42" s="40"/>
      <c r="EB42" s="40"/>
      <c r="EC42" s="40"/>
      <c r="ED42" s="40"/>
      <c r="EE42" s="40"/>
      <c r="EF42" s="40"/>
      <c r="EG42" s="40"/>
      <c r="EH42" s="40"/>
      <c r="EI42" s="40"/>
      <c r="EJ42" s="40"/>
      <c r="EK42" s="40"/>
      <c r="EL42" s="40"/>
      <c r="EM42" s="40"/>
      <c r="EN42" s="40"/>
      <c r="EO42" s="40"/>
      <c r="EP42" s="40"/>
      <c r="EQ42" s="40"/>
      <c r="ER42" s="40"/>
      <c r="ES42" s="40"/>
      <c r="ET42" s="40"/>
      <c r="EU42" s="40"/>
      <c r="EV42" s="40"/>
      <c r="EW42" s="40"/>
      <c r="EX42" s="40"/>
      <c r="EY42" s="40"/>
      <c r="EZ42" s="40"/>
      <c r="FA42" s="40"/>
      <c r="FB42" s="40"/>
      <c r="FC42" s="40"/>
      <c r="FD42" s="40"/>
      <c r="FE42" s="40"/>
      <c r="FF42" s="40"/>
      <c r="FG42" s="40"/>
      <c r="FH42" s="40"/>
      <c r="FI42" s="40"/>
      <c r="FJ42" s="40"/>
      <c r="FK42" s="40"/>
      <c r="FL42" s="40"/>
      <c r="FM42" s="40"/>
      <c r="FN42" s="40"/>
      <c r="FO42" s="40"/>
      <c r="FP42" s="40"/>
      <c r="FQ42" s="40"/>
      <c r="FR42" s="40"/>
      <c r="FS42" s="40"/>
      <c r="FT42" s="40"/>
      <c r="FU42" s="40"/>
      <c r="FV42" s="40"/>
      <c r="FW42" s="40"/>
      <c r="FX42" s="40"/>
      <c r="FY42" s="40"/>
      <c r="FZ42" s="40"/>
      <c r="GA42" s="40"/>
      <c r="GB42" s="40"/>
      <c r="GC42" s="40"/>
      <c r="GD42" s="40"/>
      <c r="GE42" s="40"/>
      <c r="GF42" s="40"/>
    </row>
    <row r="43" spans="1:188" ht="15.75" customHeight="1" x14ac:dyDescent="0.4">
      <c r="A43" s="39" t="s">
        <v>441</v>
      </c>
      <c r="B43" s="29" t="s">
        <v>58</v>
      </c>
      <c r="C43" s="7">
        <v>42</v>
      </c>
      <c r="D43" s="7" t="s">
        <v>404</v>
      </c>
      <c r="E43" s="7" t="s">
        <v>442</v>
      </c>
      <c r="F43" s="8" t="s">
        <v>441</v>
      </c>
      <c r="G43" s="34" t="s">
        <v>104</v>
      </c>
      <c r="H43" s="14" t="s">
        <v>104</v>
      </c>
      <c r="I43" s="14" t="s">
        <v>104</v>
      </c>
      <c r="J43" s="31" t="s">
        <v>409</v>
      </c>
      <c r="K43" s="8" t="s">
        <v>443</v>
      </c>
      <c r="L43" s="7" t="s">
        <v>411</v>
      </c>
      <c r="M43" s="7" t="s">
        <v>68</v>
      </c>
      <c r="N43" s="7" t="s">
        <v>70</v>
      </c>
      <c r="O43" s="7" t="s">
        <v>1079</v>
      </c>
      <c r="P43" s="7" t="s">
        <v>1079</v>
      </c>
      <c r="Q43" s="7" t="s">
        <v>1079</v>
      </c>
      <c r="R43" s="7" t="s">
        <v>137</v>
      </c>
      <c r="S43" s="7" t="s">
        <v>412</v>
      </c>
      <c r="T43" s="7" t="s">
        <v>104</v>
      </c>
      <c r="U43" s="7" t="s">
        <v>74</v>
      </c>
      <c r="V43" s="7" t="s">
        <v>70</v>
      </c>
      <c r="W43" s="7" t="s">
        <v>70</v>
      </c>
      <c r="X43" s="7" t="s">
        <v>413</v>
      </c>
      <c r="Y43" s="11" t="s">
        <v>444</v>
      </c>
      <c r="Z43" s="11" t="s">
        <v>445</v>
      </c>
      <c r="AA43" s="17" t="s">
        <v>143</v>
      </c>
      <c r="AB43" s="17" t="s">
        <v>104</v>
      </c>
      <c r="AC43" s="17" t="s">
        <v>104</v>
      </c>
      <c r="AD43" s="7" t="s">
        <v>358</v>
      </c>
      <c r="AE43" s="7" t="s">
        <v>76</v>
      </c>
      <c r="AF43" s="7" t="s">
        <v>260</v>
      </c>
      <c r="AG43" s="14" t="s">
        <v>104</v>
      </c>
      <c r="AH43" s="14" t="s">
        <v>104</v>
      </c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40"/>
      <c r="BH43" s="40"/>
      <c r="BI43" s="40"/>
      <c r="BJ43" s="40"/>
      <c r="BK43" s="40"/>
      <c r="BL43" s="40"/>
      <c r="BM43" s="40"/>
      <c r="BN43" s="40"/>
      <c r="BO43" s="40"/>
      <c r="BP43" s="40"/>
      <c r="BQ43" s="40"/>
      <c r="BR43" s="40"/>
      <c r="BS43" s="40"/>
      <c r="BT43" s="40"/>
      <c r="BU43" s="40"/>
      <c r="BV43" s="40"/>
      <c r="BW43" s="40"/>
      <c r="BX43" s="40"/>
      <c r="BY43" s="40"/>
      <c r="BZ43" s="40"/>
      <c r="CA43" s="40"/>
      <c r="CB43" s="40"/>
      <c r="CC43" s="40"/>
      <c r="CD43" s="40"/>
      <c r="CE43" s="40"/>
      <c r="CF43" s="40"/>
      <c r="CG43" s="40"/>
      <c r="CH43" s="40"/>
      <c r="CI43" s="40"/>
      <c r="CJ43" s="40"/>
      <c r="CK43" s="40"/>
      <c r="CL43" s="40"/>
      <c r="CM43" s="40"/>
      <c r="CN43" s="40"/>
      <c r="CO43" s="40"/>
      <c r="CP43" s="40"/>
      <c r="CQ43" s="40"/>
      <c r="CR43" s="40"/>
      <c r="CS43" s="40"/>
      <c r="CT43" s="40"/>
      <c r="CU43" s="40"/>
      <c r="CV43" s="40"/>
      <c r="CW43" s="40"/>
      <c r="CX43" s="40"/>
      <c r="CY43" s="40"/>
      <c r="CZ43" s="40"/>
      <c r="DA43" s="40"/>
      <c r="DB43" s="40"/>
      <c r="DC43" s="40"/>
      <c r="DD43" s="40"/>
      <c r="DE43" s="40"/>
      <c r="DF43" s="40"/>
      <c r="DG43" s="40"/>
      <c r="DH43" s="40"/>
      <c r="DI43" s="40"/>
      <c r="DJ43" s="40"/>
      <c r="DK43" s="40"/>
      <c r="DL43" s="40"/>
      <c r="DM43" s="40"/>
      <c r="DN43" s="40"/>
      <c r="DO43" s="40"/>
      <c r="DP43" s="40"/>
      <c r="DQ43" s="40"/>
      <c r="DR43" s="40"/>
      <c r="DS43" s="40"/>
      <c r="DT43" s="40"/>
      <c r="DU43" s="40"/>
      <c r="DV43" s="40"/>
      <c r="DW43" s="40"/>
      <c r="DX43" s="40"/>
      <c r="DY43" s="40"/>
      <c r="DZ43" s="40"/>
      <c r="EA43" s="40"/>
      <c r="EB43" s="40"/>
      <c r="EC43" s="40"/>
      <c r="ED43" s="40"/>
      <c r="EE43" s="40"/>
      <c r="EF43" s="40"/>
      <c r="EG43" s="40"/>
      <c r="EH43" s="40"/>
      <c r="EI43" s="40"/>
      <c r="EJ43" s="40"/>
      <c r="EK43" s="40"/>
      <c r="EL43" s="40"/>
      <c r="EM43" s="40"/>
      <c r="EN43" s="40"/>
      <c r="EO43" s="40"/>
      <c r="EP43" s="40"/>
      <c r="EQ43" s="40"/>
      <c r="ER43" s="40"/>
      <c r="ES43" s="40"/>
      <c r="ET43" s="40"/>
      <c r="EU43" s="40"/>
      <c r="EV43" s="40"/>
      <c r="EW43" s="40"/>
      <c r="EX43" s="40"/>
      <c r="EY43" s="40"/>
      <c r="EZ43" s="40"/>
      <c r="FA43" s="40"/>
      <c r="FB43" s="40"/>
      <c r="FC43" s="40"/>
      <c r="FD43" s="40"/>
      <c r="FE43" s="40"/>
      <c r="FF43" s="40"/>
      <c r="FG43" s="40"/>
      <c r="FH43" s="40"/>
      <c r="FI43" s="40"/>
      <c r="FJ43" s="40"/>
      <c r="FK43" s="40"/>
      <c r="FL43" s="40"/>
      <c r="FM43" s="40"/>
      <c r="FN43" s="40"/>
      <c r="FO43" s="40"/>
      <c r="FP43" s="40"/>
      <c r="FQ43" s="40"/>
      <c r="FR43" s="40"/>
      <c r="FS43" s="40"/>
      <c r="FT43" s="40"/>
      <c r="FU43" s="40"/>
      <c r="FV43" s="40"/>
      <c r="FW43" s="40"/>
      <c r="FX43" s="40"/>
      <c r="FY43" s="40"/>
      <c r="FZ43" s="40"/>
      <c r="GA43" s="40"/>
      <c r="GB43" s="40"/>
      <c r="GC43" s="40"/>
      <c r="GD43" s="40"/>
      <c r="GE43" s="40"/>
      <c r="GF43" s="40"/>
    </row>
    <row r="44" spans="1:188" ht="15.75" customHeight="1" x14ac:dyDescent="0.4">
      <c r="A44" s="39" t="s">
        <v>446</v>
      </c>
      <c r="B44" s="29" t="s">
        <v>58</v>
      </c>
      <c r="C44" s="7">
        <v>43</v>
      </c>
      <c r="D44" s="7" t="s">
        <v>404</v>
      </c>
      <c r="E44" s="7" t="s">
        <v>447</v>
      </c>
      <c r="F44" s="8" t="s">
        <v>446</v>
      </c>
      <c r="G44" s="34" t="s">
        <v>104</v>
      </c>
      <c r="H44" s="14" t="s">
        <v>104</v>
      </c>
      <c r="I44" s="14" t="s">
        <v>104</v>
      </c>
      <c r="J44" s="31" t="s">
        <v>448</v>
      </c>
      <c r="K44" s="8" t="s">
        <v>449</v>
      </c>
      <c r="L44" s="7" t="s">
        <v>411</v>
      </c>
      <c r="M44" s="7" t="s">
        <v>68</v>
      </c>
      <c r="N44" s="7" t="s">
        <v>70</v>
      </c>
      <c r="O44" s="7" t="s">
        <v>1079</v>
      </c>
      <c r="P44" s="7" t="s">
        <v>1079</v>
      </c>
      <c r="Q44" s="7" t="s">
        <v>1079</v>
      </c>
      <c r="R44" s="7" t="s">
        <v>137</v>
      </c>
      <c r="S44" s="7" t="s">
        <v>412</v>
      </c>
      <c r="T44" s="7" t="s">
        <v>104</v>
      </c>
      <c r="U44" s="7" t="s">
        <v>74</v>
      </c>
      <c r="V44" s="7" t="s">
        <v>70</v>
      </c>
      <c r="W44" s="7" t="s">
        <v>70</v>
      </c>
      <c r="X44" s="7" t="s">
        <v>413</v>
      </c>
      <c r="Y44" s="11" t="s">
        <v>450</v>
      </c>
      <c r="Z44" s="11" t="s">
        <v>451</v>
      </c>
      <c r="AA44" s="17" t="s">
        <v>143</v>
      </c>
      <c r="AB44" s="17" t="s">
        <v>104</v>
      </c>
      <c r="AC44" s="17" t="s">
        <v>104</v>
      </c>
      <c r="AD44" s="7" t="s">
        <v>358</v>
      </c>
      <c r="AE44" s="7" t="s">
        <v>76</v>
      </c>
      <c r="AF44" s="7" t="s">
        <v>260</v>
      </c>
      <c r="AG44" s="14" t="s">
        <v>104</v>
      </c>
      <c r="AH44" s="14" t="s">
        <v>104</v>
      </c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40"/>
      <c r="BH44" s="40"/>
      <c r="BI44" s="40"/>
      <c r="BJ44" s="40"/>
      <c r="BK44" s="40"/>
      <c r="BL44" s="40"/>
      <c r="BM44" s="40"/>
      <c r="BN44" s="40"/>
      <c r="BO44" s="40"/>
      <c r="BP44" s="40"/>
      <c r="BQ44" s="40"/>
      <c r="BR44" s="40"/>
      <c r="BS44" s="40"/>
      <c r="BT44" s="40"/>
      <c r="BU44" s="40"/>
      <c r="BV44" s="40"/>
      <c r="BW44" s="40"/>
      <c r="BX44" s="40"/>
      <c r="BY44" s="40"/>
      <c r="BZ44" s="40"/>
      <c r="CA44" s="40"/>
      <c r="CB44" s="40"/>
      <c r="CC44" s="40"/>
      <c r="CD44" s="40"/>
      <c r="CE44" s="40"/>
      <c r="CF44" s="40"/>
      <c r="CG44" s="40"/>
      <c r="CH44" s="40"/>
      <c r="CI44" s="40"/>
      <c r="CJ44" s="40"/>
      <c r="CK44" s="40"/>
      <c r="CL44" s="40"/>
      <c r="CM44" s="40"/>
      <c r="CN44" s="40"/>
      <c r="CO44" s="40"/>
      <c r="CP44" s="40"/>
      <c r="CQ44" s="40"/>
      <c r="CR44" s="40"/>
      <c r="CS44" s="40"/>
      <c r="CT44" s="40"/>
      <c r="CU44" s="40"/>
      <c r="CV44" s="40"/>
      <c r="CW44" s="40"/>
      <c r="CX44" s="40"/>
      <c r="CY44" s="40"/>
      <c r="CZ44" s="40"/>
      <c r="DA44" s="40"/>
      <c r="DB44" s="40"/>
      <c r="DC44" s="40"/>
      <c r="DD44" s="40"/>
      <c r="DE44" s="40"/>
      <c r="DF44" s="40"/>
      <c r="DG44" s="40"/>
      <c r="DH44" s="40"/>
      <c r="DI44" s="40"/>
      <c r="DJ44" s="40"/>
      <c r="DK44" s="40"/>
      <c r="DL44" s="40"/>
      <c r="DM44" s="40"/>
      <c r="DN44" s="40"/>
      <c r="DO44" s="40"/>
      <c r="DP44" s="40"/>
      <c r="DQ44" s="40"/>
      <c r="DR44" s="40"/>
      <c r="DS44" s="40"/>
      <c r="DT44" s="40"/>
      <c r="DU44" s="40"/>
      <c r="DV44" s="40"/>
      <c r="DW44" s="40"/>
      <c r="DX44" s="40"/>
      <c r="DY44" s="40"/>
      <c r="DZ44" s="40"/>
      <c r="EA44" s="40"/>
      <c r="EB44" s="40"/>
      <c r="EC44" s="40"/>
      <c r="ED44" s="40"/>
      <c r="EE44" s="40"/>
      <c r="EF44" s="40"/>
      <c r="EG44" s="40"/>
      <c r="EH44" s="40"/>
      <c r="EI44" s="40"/>
      <c r="EJ44" s="40"/>
      <c r="EK44" s="40"/>
      <c r="EL44" s="40"/>
      <c r="EM44" s="40"/>
      <c r="EN44" s="40"/>
      <c r="EO44" s="40"/>
      <c r="EP44" s="40"/>
      <c r="EQ44" s="40"/>
      <c r="ER44" s="40"/>
      <c r="ES44" s="40"/>
      <c r="ET44" s="40"/>
      <c r="EU44" s="40"/>
      <c r="EV44" s="40"/>
      <c r="EW44" s="40"/>
      <c r="EX44" s="40"/>
      <c r="EY44" s="40"/>
      <c r="EZ44" s="40"/>
      <c r="FA44" s="40"/>
      <c r="FB44" s="40"/>
      <c r="FC44" s="40"/>
      <c r="FD44" s="40"/>
      <c r="FE44" s="40"/>
      <c r="FF44" s="40"/>
      <c r="FG44" s="40"/>
      <c r="FH44" s="40"/>
      <c r="FI44" s="40"/>
      <c r="FJ44" s="40"/>
      <c r="FK44" s="40"/>
      <c r="FL44" s="40"/>
      <c r="FM44" s="40"/>
      <c r="FN44" s="40"/>
      <c r="FO44" s="40"/>
      <c r="FP44" s="40"/>
      <c r="FQ44" s="40"/>
      <c r="FR44" s="40"/>
      <c r="FS44" s="40"/>
      <c r="FT44" s="40"/>
      <c r="FU44" s="40"/>
      <c r="FV44" s="40"/>
      <c r="FW44" s="40"/>
      <c r="FX44" s="40"/>
      <c r="FY44" s="40"/>
      <c r="FZ44" s="40"/>
      <c r="GA44" s="40"/>
      <c r="GB44" s="40"/>
      <c r="GC44" s="40"/>
      <c r="GD44" s="40"/>
      <c r="GE44" s="40"/>
      <c r="GF44" s="40"/>
    </row>
    <row r="45" spans="1:188" ht="15.75" customHeight="1" x14ac:dyDescent="0.4">
      <c r="A45" s="41" t="s">
        <v>452</v>
      </c>
      <c r="B45" s="42"/>
      <c r="C45" s="7">
        <v>44</v>
      </c>
      <c r="D45" s="7" t="s">
        <v>404</v>
      </c>
      <c r="E45" s="7" t="s">
        <v>453</v>
      </c>
      <c r="F45" s="8" t="s">
        <v>454</v>
      </c>
      <c r="G45" s="34" t="s">
        <v>104</v>
      </c>
      <c r="H45" s="7" t="s">
        <v>455</v>
      </c>
      <c r="I45" s="35" t="s">
        <v>456</v>
      </c>
      <c r="J45" s="43" t="s">
        <v>457</v>
      </c>
      <c r="K45" s="8" t="s">
        <v>458</v>
      </c>
      <c r="L45" s="7" t="s">
        <v>411</v>
      </c>
      <c r="M45" s="7" t="s">
        <v>68</v>
      </c>
      <c r="N45" s="7" t="s">
        <v>70</v>
      </c>
      <c r="O45" s="7" t="s">
        <v>1079</v>
      </c>
      <c r="P45" s="7" t="s">
        <v>1079</v>
      </c>
      <c r="Q45" s="7" t="s">
        <v>1079</v>
      </c>
      <c r="R45" s="7" t="s">
        <v>137</v>
      </c>
      <c r="S45" s="7" t="s">
        <v>412</v>
      </c>
      <c r="T45" s="14" t="s">
        <v>104</v>
      </c>
      <c r="U45" s="7" t="s">
        <v>74</v>
      </c>
      <c r="V45" s="7" t="s">
        <v>70</v>
      </c>
      <c r="W45" s="7" t="s">
        <v>70</v>
      </c>
      <c r="X45" s="11">
        <v>1045534</v>
      </c>
      <c r="Y45" s="11">
        <v>494710.5</v>
      </c>
      <c r="Z45" s="11">
        <f>Y45/12</f>
        <v>41225.875</v>
      </c>
      <c r="AA45" s="17" t="s">
        <v>143</v>
      </c>
      <c r="AB45" s="17" t="s">
        <v>104</v>
      </c>
      <c r="AC45" s="17" t="s">
        <v>104</v>
      </c>
      <c r="AD45" s="7" t="s">
        <v>358</v>
      </c>
      <c r="AE45" s="7" t="s">
        <v>76</v>
      </c>
      <c r="AF45" s="7" t="s">
        <v>260</v>
      </c>
      <c r="AG45" s="14" t="s">
        <v>104</v>
      </c>
      <c r="AH45" s="14" t="s">
        <v>104</v>
      </c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40"/>
      <c r="BH45" s="40"/>
      <c r="BI45" s="40"/>
      <c r="BJ45" s="40"/>
      <c r="BK45" s="40"/>
      <c r="BL45" s="40"/>
      <c r="BM45" s="40"/>
      <c r="BN45" s="40"/>
      <c r="BO45" s="40"/>
      <c r="BP45" s="40"/>
      <c r="BQ45" s="40"/>
      <c r="BR45" s="40"/>
      <c r="BS45" s="40"/>
      <c r="BT45" s="40"/>
      <c r="BU45" s="40"/>
      <c r="BV45" s="40"/>
      <c r="BW45" s="40"/>
      <c r="BX45" s="40"/>
      <c r="BY45" s="40"/>
      <c r="BZ45" s="40"/>
      <c r="CA45" s="40"/>
      <c r="CB45" s="40"/>
      <c r="CC45" s="40"/>
      <c r="CD45" s="40"/>
      <c r="CE45" s="40"/>
      <c r="CF45" s="40"/>
      <c r="CG45" s="40"/>
      <c r="CH45" s="40"/>
      <c r="CI45" s="40"/>
      <c r="CJ45" s="40"/>
      <c r="CK45" s="40"/>
      <c r="CL45" s="40"/>
      <c r="CM45" s="40"/>
      <c r="CN45" s="40"/>
      <c r="CO45" s="40"/>
      <c r="CP45" s="40"/>
      <c r="CQ45" s="40"/>
      <c r="CR45" s="40"/>
      <c r="CS45" s="40"/>
      <c r="CT45" s="40"/>
      <c r="CU45" s="40"/>
      <c r="CV45" s="40"/>
      <c r="CW45" s="40"/>
      <c r="CX45" s="40"/>
      <c r="CY45" s="40"/>
      <c r="CZ45" s="40"/>
      <c r="DA45" s="40"/>
      <c r="DB45" s="40"/>
      <c r="DC45" s="40"/>
      <c r="DD45" s="40"/>
      <c r="DE45" s="40"/>
      <c r="DF45" s="40"/>
      <c r="DG45" s="40"/>
      <c r="DH45" s="40"/>
      <c r="DI45" s="40"/>
      <c r="DJ45" s="40"/>
      <c r="DK45" s="40"/>
      <c r="DL45" s="40"/>
      <c r="DM45" s="40"/>
      <c r="DN45" s="40"/>
      <c r="DO45" s="40"/>
      <c r="DP45" s="40"/>
      <c r="DQ45" s="40"/>
      <c r="DR45" s="40"/>
      <c r="DS45" s="40"/>
      <c r="DT45" s="40"/>
      <c r="DU45" s="40"/>
      <c r="DV45" s="40"/>
      <c r="DW45" s="40"/>
      <c r="DX45" s="40"/>
      <c r="DY45" s="40"/>
      <c r="DZ45" s="40"/>
      <c r="EA45" s="40"/>
      <c r="EB45" s="40"/>
      <c r="EC45" s="40"/>
      <c r="ED45" s="40"/>
      <c r="EE45" s="40"/>
      <c r="EF45" s="40"/>
      <c r="EG45" s="40"/>
      <c r="EH45" s="40"/>
      <c r="EI45" s="40"/>
      <c r="EJ45" s="40"/>
      <c r="EK45" s="40"/>
      <c r="EL45" s="40"/>
      <c r="EM45" s="40"/>
      <c r="EN45" s="40"/>
      <c r="EO45" s="40"/>
      <c r="EP45" s="40"/>
      <c r="EQ45" s="40"/>
      <c r="ER45" s="40"/>
      <c r="ES45" s="40"/>
      <c r="ET45" s="40"/>
      <c r="EU45" s="40"/>
      <c r="EV45" s="40"/>
      <c r="EW45" s="40"/>
      <c r="EX45" s="40"/>
      <c r="EY45" s="40"/>
      <c r="EZ45" s="40"/>
      <c r="FA45" s="40"/>
      <c r="FB45" s="40"/>
      <c r="FC45" s="40"/>
      <c r="FD45" s="40"/>
      <c r="FE45" s="40"/>
      <c r="FF45" s="40"/>
      <c r="FG45" s="40"/>
      <c r="FH45" s="40"/>
      <c r="FI45" s="40"/>
      <c r="FJ45" s="40"/>
      <c r="FK45" s="40"/>
      <c r="FL45" s="40"/>
      <c r="FM45" s="40"/>
      <c r="FN45" s="40"/>
      <c r="FO45" s="40"/>
      <c r="FP45" s="40"/>
      <c r="FQ45" s="40"/>
      <c r="FR45" s="40"/>
      <c r="FS45" s="40"/>
      <c r="FT45" s="40"/>
      <c r="FU45" s="40"/>
      <c r="FV45" s="40"/>
      <c r="FW45" s="40"/>
      <c r="FX45" s="40"/>
      <c r="FY45" s="40"/>
      <c r="FZ45" s="40"/>
      <c r="GA45" s="40"/>
      <c r="GB45" s="40"/>
      <c r="GC45" s="40"/>
      <c r="GD45" s="40"/>
      <c r="GE45" s="40"/>
      <c r="GF45" s="40"/>
    </row>
    <row r="46" spans="1:188" ht="15.75" customHeight="1" x14ac:dyDescent="0.4">
      <c r="A46" s="44" t="s">
        <v>459</v>
      </c>
      <c r="B46" s="29" t="s">
        <v>58</v>
      </c>
      <c r="C46" s="7">
        <v>45</v>
      </c>
      <c r="D46" s="7" t="s">
        <v>404</v>
      </c>
      <c r="E46" s="7" t="s">
        <v>460</v>
      </c>
      <c r="F46" s="8" t="s">
        <v>459</v>
      </c>
      <c r="G46" s="34" t="s">
        <v>104</v>
      </c>
      <c r="H46" s="14" t="s">
        <v>104</v>
      </c>
      <c r="I46" s="7" t="s">
        <v>104</v>
      </c>
      <c r="J46" s="31" t="s">
        <v>409</v>
      </c>
      <c r="K46" s="8" t="s">
        <v>461</v>
      </c>
      <c r="L46" s="7" t="s">
        <v>411</v>
      </c>
      <c r="M46" s="7" t="s">
        <v>68</v>
      </c>
      <c r="N46" s="7" t="s">
        <v>70</v>
      </c>
      <c r="O46" s="7" t="s">
        <v>1079</v>
      </c>
      <c r="P46" s="7" t="s">
        <v>1079</v>
      </c>
      <c r="Q46" s="7" t="s">
        <v>1079</v>
      </c>
      <c r="R46" s="7" t="s">
        <v>137</v>
      </c>
      <c r="S46" s="7" t="s">
        <v>412</v>
      </c>
      <c r="T46" s="14" t="s">
        <v>104</v>
      </c>
      <c r="U46" s="7" t="s">
        <v>74</v>
      </c>
      <c r="V46" s="7" t="s">
        <v>70</v>
      </c>
      <c r="W46" s="7" t="s">
        <v>70</v>
      </c>
      <c r="X46" s="7" t="s">
        <v>413</v>
      </c>
      <c r="Y46" s="11" t="s">
        <v>462</v>
      </c>
      <c r="Z46" s="11" t="s">
        <v>463</v>
      </c>
      <c r="AA46" s="36" t="s">
        <v>143</v>
      </c>
      <c r="AB46" s="36" t="s">
        <v>104</v>
      </c>
      <c r="AC46" s="36" t="s">
        <v>104</v>
      </c>
      <c r="AD46" s="7" t="s">
        <v>358</v>
      </c>
      <c r="AE46" s="7" t="s">
        <v>76</v>
      </c>
      <c r="AF46" s="7" t="s">
        <v>260</v>
      </c>
      <c r="AG46" s="14" t="s">
        <v>104</v>
      </c>
      <c r="AH46" s="14" t="s">
        <v>104</v>
      </c>
      <c r="AI46" s="37"/>
      <c r="AJ46" s="37"/>
      <c r="AK46" s="37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37"/>
      <c r="AZ46" s="37"/>
      <c r="BA46" s="37"/>
      <c r="BB46" s="37"/>
      <c r="BC46" s="37"/>
      <c r="BD46" s="37"/>
      <c r="BE46" s="37"/>
      <c r="BF46" s="37"/>
      <c r="BG46" s="40"/>
      <c r="BH46" s="40"/>
      <c r="BI46" s="40"/>
      <c r="BJ46" s="40"/>
      <c r="BK46" s="40"/>
      <c r="BL46" s="40"/>
      <c r="BM46" s="40"/>
      <c r="BN46" s="40"/>
      <c r="BO46" s="40"/>
      <c r="BP46" s="40"/>
      <c r="BQ46" s="40"/>
      <c r="BR46" s="40"/>
      <c r="BS46" s="40"/>
      <c r="BT46" s="40"/>
      <c r="BU46" s="40"/>
      <c r="BV46" s="40"/>
      <c r="BW46" s="40"/>
      <c r="BX46" s="40"/>
      <c r="BY46" s="40"/>
      <c r="BZ46" s="40"/>
      <c r="CA46" s="40"/>
      <c r="CB46" s="40"/>
      <c r="CC46" s="40"/>
      <c r="CD46" s="40"/>
      <c r="CE46" s="40"/>
      <c r="CF46" s="40"/>
      <c r="CG46" s="40"/>
      <c r="CH46" s="40"/>
      <c r="CI46" s="40"/>
      <c r="CJ46" s="40"/>
      <c r="CK46" s="40"/>
      <c r="CL46" s="40"/>
      <c r="CM46" s="40"/>
      <c r="CN46" s="40"/>
      <c r="CO46" s="40"/>
      <c r="CP46" s="40"/>
      <c r="CQ46" s="40"/>
      <c r="CR46" s="40"/>
      <c r="CS46" s="40"/>
      <c r="CT46" s="40"/>
      <c r="CU46" s="40"/>
      <c r="CV46" s="40"/>
      <c r="CW46" s="40"/>
      <c r="CX46" s="40"/>
      <c r="CY46" s="40"/>
      <c r="CZ46" s="40"/>
      <c r="DA46" s="40"/>
      <c r="DB46" s="40"/>
      <c r="DC46" s="40"/>
      <c r="DD46" s="40"/>
      <c r="DE46" s="40"/>
      <c r="DF46" s="40"/>
      <c r="DG46" s="40"/>
      <c r="DH46" s="40"/>
      <c r="DI46" s="40"/>
      <c r="DJ46" s="40"/>
      <c r="DK46" s="40"/>
      <c r="DL46" s="40"/>
      <c r="DM46" s="40"/>
      <c r="DN46" s="40"/>
      <c r="DO46" s="40"/>
      <c r="DP46" s="40"/>
      <c r="DQ46" s="40"/>
      <c r="DR46" s="40"/>
      <c r="DS46" s="40"/>
      <c r="DT46" s="40"/>
      <c r="DU46" s="40"/>
      <c r="DV46" s="40"/>
      <c r="DW46" s="40"/>
      <c r="DX46" s="40"/>
      <c r="DY46" s="40"/>
      <c r="DZ46" s="40"/>
      <c r="EA46" s="40"/>
      <c r="EB46" s="40"/>
      <c r="EC46" s="40"/>
      <c r="ED46" s="40"/>
      <c r="EE46" s="40"/>
      <c r="EF46" s="40"/>
      <c r="EG46" s="40"/>
      <c r="EH46" s="40"/>
      <c r="EI46" s="40"/>
      <c r="EJ46" s="40"/>
      <c r="EK46" s="40"/>
      <c r="EL46" s="40"/>
      <c r="EM46" s="40"/>
      <c r="EN46" s="40"/>
      <c r="EO46" s="40"/>
      <c r="EP46" s="40"/>
      <c r="EQ46" s="40"/>
      <c r="ER46" s="40"/>
      <c r="ES46" s="40"/>
      <c r="ET46" s="40"/>
      <c r="EU46" s="40"/>
      <c r="EV46" s="40"/>
      <c r="EW46" s="40"/>
      <c r="EX46" s="40"/>
      <c r="EY46" s="40"/>
      <c r="EZ46" s="40"/>
      <c r="FA46" s="40"/>
      <c r="FB46" s="40"/>
      <c r="FC46" s="40"/>
      <c r="FD46" s="40"/>
      <c r="FE46" s="40"/>
      <c r="FF46" s="40"/>
      <c r="FG46" s="40"/>
      <c r="FH46" s="40"/>
      <c r="FI46" s="40"/>
      <c r="FJ46" s="40"/>
      <c r="FK46" s="40"/>
      <c r="FL46" s="40"/>
      <c r="FM46" s="40"/>
      <c r="FN46" s="40"/>
      <c r="FO46" s="40"/>
      <c r="FP46" s="40"/>
      <c r="FQ46" s="40"/>
      <c r="FR46" s="40"/>
      <c r="FS46" s="40"/>
      <c r="FT46" s="40"/>
      <c r="FU46" s="40"/>
      <c r="FV46" s="40"/>
      <c r="FW46" s="40"/>
      <c r="FX46" s="40"/>
      <c r="FY46" s="40"/>
      <c r="FZ46" s="40"/>
      <c r="GA46" s="40"/>
      <c r="GB46" s="40"/>
      <c r="GC46" s="40"/>
      <c r="GD46" s="40"/>
      <c r="GE46" s="40"/>
      <c r="GF46" s="40"/>
    </row>
    <row r="47" spans="1:188" ht="15.75" customHeight="1" x14ac:dyDescent="0.4">
      <c r="A47" s="33" t="s">
        <v>464</v>
      </c>
      <c r="B47" s="29" t="s">
        <v>58</v>
      </c>
      <c r="C47" s="7">
        <v>46</v>
      </c>
      <c r="D47" s="7" t="s">
        <v>404</v>
      </c>
      <c r="E47" s="7" t="s">
        <v>465</v>
      </c>
      <c r="F47" s="8" t="s">
        <v>464</v>
      </c>
      <c r="G47" s="34" t="s">
        <v>104</v>
      </c>
      <c r="H47" s="14" t="s">
        <v>104</v>
      </c>
      <c r="I47" s="7" t="s">
        <v>104</v>
      </c>
      <c r="J47" s="31" t="s">
        <v>409</v>
      </c>
      <c r="K47" s="8" t="s">
        <v>466</v>
      </c>
      <c r="L47" s="7" t="s">
        <v>411</v>
      </c>
      <c r="M47" s="7" t="s">
        <v>68</v>
      </c>
      <c r="N47" s="7" t="s">
        <v>70</v>
      </c>
      <c r="O47" s="7" t="s">
        <v>1079</v>
      </c>
      <c r="P47" s="7" t="s">
        <v>1079</v>
      </c>
      <c r="Q47" s="7" t="s">
        <v>1079</v>
      </c>
      <c r="R47" s="7" t="s">
        <v>137</v>
      </c>
      <c r="S47" s="7" t="s">
        <v>412</v>
      </c>
      <c r="T47" s="14" t="s">
        <v>104</v>
      </c>
      <c r="U47" s="7" t="s">
        <v>74</v>
      </c>
      <c r="V47" s="7" t="s">
        <v>70</v>
      </c>
      <c r="W47" s="7" t="s">
        <v>70</v>
      </c>
      <c r="X47" s="7" t="s">
        <v>413</v>
      </c>
      <c r="Y47" s="11" t="s">
        <v>462</v>
      </c>
      <c r="Z47" s="11" t="s">
        <v>463</v>
      </c>
      <c r="AA47" s="36" t="s">
        <v>143</v>
      </c>
      <c r="AB47" s="36" t="s">
        <v>104</v>
      </c>
      <c r="AC47" s="36" t="s">
        <v>104</v>
      </c>
      <c r="AD47" s="7" t="s">
        <v>358</v>
      </c>
      <c r="AE47" s="7" t="s">
        <v>76</v>
      </c>
      <c r="AF47" s="7" t="s">
        <v>260</v>
      </c>
      <c r="AG47" s="14" t="s">
        <v>104</v>
      </c>
      <c r="AH47" s="14" t="s">
        <v>104</v>
      </c>
      <c r="AI47" s="37"/>
      <c r="AJ47" s="37"/>
      <c r="AK47" s="37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7"/>
      <c r="AY47" s="37"/>
      <c r="AZ47" s="37"/>
      <c r="BA47" s="37"/>
      <c r="BB47" s="37"/>
      <c r="BC47" s="37"/>
      <c r="BD47" s="37"/>
      <c r="BE47" s="37"/>
      <c r="BF47" s="37"/>
      <c r="BG47" s="40"/>
      <c r="BH47" s="40"/>
      <c r="BI47" s="40"/>
      <c r="BJ47" s="40"/>
      <c r="BK47" s="40"/>
      <c r="BL47" s="40"/>
      <c r="BM47" s="40"/>
      <c r="BN47" s="40"/>
      <c r="BO47" s="40"/>
      <c r="BP47" s="40"/>
      <c r="BQ47" s="40"/>
      <c r="BR47" s="40"/>
      <c r="BS47" s="40"/>
      <c r="BT47" s="40"/>
      <c r="BU47" s="40"/>
      <c r="BV47" s="40"/>
      <c r="BW47" s="40"/>
      <c r="BX47" s="40"/>
      <c r="BY47" s="40"/>
      <c r="BZ47" s="40"/>
      <c r="CA47" s="40"/>
      <c r="CB47" s="40"/>
      <c r="CC47" s="40"/>
      <c r="CD47" s="40"/>
      <c r="CE47" s="40"/>
      <c r="CF47" s="40"/>
      <c r="CG47" s="40"/>
      <c r="CH47" s="40"/>
      <c r="CI47" s="40"/>
      <c r="CJ47" s="40"/>
      <c r="CK47" s="40"/>
      <c r="CL47" s="40"/>
      <c r="CM47" s="40"/>
      <c r="CN47" s="40"/>
      <c r="CO47" s="40"/>
      <c r="CP47" s="40"/>
      <c r="CQ47" s="40"/>
      <c r="CR47" s="40"/>
      <c r="CS47" s="40"/>
      <c r="CT47" s="40"/>
      <c r="CU47" s="40"/>
      <c r="CV47" s="40"/>
      <c r="CW47" s="40"/>
      <c r="CX47" s="40"/>
      <c r="CY47" s="40"/>
      <c r="CZ47" s="40"/>
      <c r="DA47" s="40"/>
      <c r="DB47" s="40"/>
      <c r="DC47" s="40"/>
      <c r="DD47" s="40"/>
      <c r="DE47" s="40"/>
      <c r="DF47" s="40"/>
      <c r="DG47" s="40"/>
      <c r="DH47" s="40"/>
      <c r="DI47" s="40"/>
      <c r="DJ47" s="40"/>
      <c r="DK47" s="40"/>
      <c r="DL47" s="40"/>
      <c r="DM47" s="40"/>
      <c r="DN47" s="40"/>
      <c r="DO47" s="40"/>
      <c r="DP47" s="40"/>
      <c r="DQ47" s="40"/>
      <c r="DR47" s="40"/>
      <c r="DS47" s="40"/>
      <c r="DT47" s="40"/>
      <c r="DU47" s="40"/>
      <c r="DV47" s="40"/>
      <c r="DW47" s="40"/>
      <c r="DX47" s="40"/>
      <c r="DY47" s="40"/>
      <c r="DZ47" s="40"/>
      <c r="EA47" s="40"/>
      <c r="EB47" s="40"/>
      <c r="EC47" s="40"/>
      <c r="ED47" s="40"/>
      <c r="EE47" s="40"/>
      <c r="EF47" s="40"/>
      <c r="EG47" s="40"/>
      <c r="EH47" s="40"/>
      <c r="EI47" s="40"/>
      <c r="EJ47" s="40"/>
      <c r="EK47" s="40"/>
      <c r="EL47" s="40"/>
      <c r="EM47" s="40"/>
      <c r="EN47" s="40"/>
      <c r="EO47" s="40"/>
      <c r="EP47" s="40"/>
      <c r="EQ47" s="40"/>
      <c r="ER47" s="40"/>
      <c r="ES47" s="40"/>
      <c r="ET47" s="40"/>
      <c r="EU47" s="40"/>
      <c r="EV47" s="40"/>
      <c r="EW47" s="40"/>
      <c r="EX47" s="40"/>
      <c r="EY47" s="40"/>
      <c r="EZ47" s="40"/>
      <c r="FA47" s="40"/>
      <c r="FB47" s="40"/>
      <c r="FC47" s="40"/>
      <c r="FD47" s="40"/>
      <c r="FE47" s="40"/>
      <c r="FF47" s="40"/>
      <c r="FG47" s="40"/>
      <c r="FH47" s="40"/>
      <c r="FI47" s="40"/>
      <c r="FJ47" s="40"/>
      <c r="FK47" s="40"/>
      <c r="FL47" s="40"/>
      <c r="FM47" s="40"/>
      <c r="FN47" s="40"/>
      <c r="FO47" s="40"/>
      <c r="FP47" s="40"/>
      <c r="FQ47" s="40"/>
      <c r="FR47" s="40"/>
      <c r="FS47" s="40"/>
      <c r="FT47" s="40"/>
      <c r="FU47" s="40"/>
      <c r="FV47" s="40"/>
      <c r="FW47" s="40"/>
      <c r="FX47" s="40"/>
      <c r="FY47" s="40"/>
      <c r="FZ47" s="40"/>
      <c r="GA47" s="40"/>
      <c r="GB47" s="40"/>
      <c r="GC47" s="40"/>
      <c r="GD47" s="40"/>
      <c r="GE47" s="40"/>
      <c r="GF47" s="40"/>
    </row>
    <row r="48" spans="1:188" ht="15.75" customHeight="1" x14ac:dyDescent="0.4">
      <c r="A48" s="5" t="s">
        <v>467</v>
      </c>
      <c r="B48" s="29" t="s">
        <v>468</v>
      </c>
      <c r="C48" s="7">
        <v>47</v>
      </c>
      <c r="D48" s="7" t="s">
        <v>469</v>
      </c>
      <c r="E48" s="7" t="s">
        <v>470</v>
      </c>
      <c r="F48" s="8" t="s">
        <v>471</v>
      </c>
      <c r="G48" s="34" t="s">
        <v>104</v>
      </c>
      <c r="H48" s="14" t="s">
        <v>104</v>
      </c>
      <c r="I48" s="7" t="s">
        <v>104</v>
      </c>
      <c r="J48" s="31" t="s">
        <v>472</v>
      </c>
      <c r="K48" s="5" t="s">
        <v>473</v>
      </c>
      <c r="L48" s="7" t="s">
        <v>247</v>
      </c>
      <c r="M48" s="7" t="s">
        <v>118</v>
      </c>
      <c r="N48" s="7" t="s">
        <v>69</v>
      </c>
      <c r="O48" s="7" t="s">
        <v>1079</v>
      </c>
      <c r="P48" s="7" t="s">
        <v>1079</v>
      </c>
      <c r="Q48" s="7" t="s">
        <v>1079</v>
      </c>
      <c r="R48" s="7" t="s">
        <v>474</v>
      </c>
      <c r="S48" s="7" t="s">
        <v>412</v>
      </c>
      <c r="T48" s="7" t="s">
        <v>475</v>
      </c>
      <c r="U48" s="7" t="s">
        <v>74</v>
      </c>
      <c r="V48" s="7" t="s">
        <v>70</v>
      </c>
      <c r="W48" s="7" t="s">
        <v>70</v>
      </c>
      <c r="X48" s="7" t="s">
        <v>70</v>
      </c>
      <c r="Y48" s="11">
        <v>92042.36</v>
      </c>
      <c r="Z48" s="11">
        <f>Y48/3</f>
        <v>30680.786666666667</v>
      </c>
      <c r="AA48" s="17" t="s">
        <v>143</v>
      </c>
      <c r="AB48" s="17" t="s">
        <v>104</v>
      </c>
      <c r="AC48" s="17" t="s">
        <v>104</v>
      </c>
      <c r="AD48" s="7" t="s">
        <v>358</v>
      </c>
      <c r="AE48" s="7" t="s">
        <v>76</v>
      </c>
      <c r="AF48" s="7" t="s">
        <v>476</v>
      </c>
      <c r="AG48" s="14" t="s">
        <v>104</v>
      </c>
      <c r="AH48" s="14" t="s">
        <v>104</v>
      </c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40"/>
      <c r="BH48" s="40"/>
      <c r="BI48" s="40"/>
      <c r="BJ48" s="40"/>
      <c r="BK48" s="40"/>
      <c r="BL48" s="40"/>
      <c r="BM48" s="40"/>
      <c r="BN48" s="40"/>
      <c r="BO48" s="40"/>
      <c r="BP48" s="40"/>
      <c r="BQ48" s="40"/>
      <c r="BR48" s="40"/>
      <c r="BS48" s="40"/>
      <c r="BT48" s="40"/>
      <c r="BU48" s="40"/>
      <c r="BV48" s="40"/>
      <c r="BW48" s="40"/>
      <c r="BX48" s="40"/>
      <c r="BY48" s="40"/>
      <c r="BZ48" s="40"/>
      <c r="CA48" s="40"/>
      <c r="CB48" s="40"/>
      <c r="CC48" s="40"/>
      <c r="CD48" s="40"/>
      <c r="CE48" s="40"/>
      <c r="CF48" s="40"/>
      <c r="CG48" s="40"/>
      <c r="CH48" s="40"/>
      <c r="CI48" s="40"/>
      <c r="CJ48" s="40"/>
      <c r="CK48" s="40"/>
      <c r="CL48" s="40"/>
      <c r="CM48" s="40"/>
      <c r="CN48" s="40"/>
      <c r="CO48" s="40"/>
      <c r="CP48" s="40"/>
      <c r="CQ48" s="40"/>
      <c r="CR48" s="40"/>
      <c r="CS48" s="40"/>
      <c r="CT48" s="40"/>
      <c r="CU48" s="40"/>
      <c r="CV48" s="40"/>
      <c r="CW48" s="40"/>
      <c r="CX48" s="40"/>
      <c r="CY48" s="40"/>
      <c r="CZ48" s="40"/>
      <c r="DA48" s="40"/>
      <c r="DB48" s="40"/>
      <c r="DC48" s="40"/>
      <c r="DD48" s="40"/>
      <c r="DE48" s="40"/>
      <c r="DF48" s="40"/>
      <c r="DG48" s="40"/>
      <c r="DH48" s="40"/>
      <c r="DI48" s="40"/>
      <c r="DJ48" s="40"/>
      <c r="DK48" s="40"/>
      <c r="DL48" s="40"/>
      <c r="DM48" s="40"/>
      <c r="DN48" s="40"/>
      <c r="DO48" s="40"/>
      <c r="DP48" s="40"/>
      <c r="DQ48" s="40"/>
      <c r="DR48" s="40"/>
      <c r="DS48" s="40"/>
      <c r="DT48" s="40"/>
      <c r="DU48" s="40"/>
      <c r="DV48" s="40"/>
      <c r="DW48" s="40"/>
      <c r="DX48" s="40"/>
      <c r="DY48" s="40"/>
      <c r="DZ48" s="40"/>
      <c r="EA48" s="40"/>
      <c r="EB48" s="40"/>
      <c r="EC48" s="40"/>
      <c r="ED48" s="40"/>
      <c r="EE48" s="40"/>
      <c r="EF48" s="40"/>
      <c r="EG48" s="40"/>
      <c r="EH48" s="40"/>
      <c r="EI48" s="40"/>
      <c r="EJ48" s="40"/>
      <c r="EK48" s="40"/>
      <c r="EL48" s="40"/>
      <c r="EM48" s="40"/>
      <c r="EN48" s="40"/>
      <c r="EO48" s="40"/>
      <c r="EP48" s="40"/>
      <c r="EQ48" s="40"/>
      <c r="ER48" s="40"/>
      <c r="ES48" s="40"/>
      <c r="ET48" s="40"/>
      <c r="EU48" s="40"/>
      <c r="EV48" s="40"/>
      <c r="EW48" s="40"/>
      <c r="EX48" s="40"/>
      <c r="EY48" s="40"/>
      <c r="EZ48" s="40"/>
      <c r="FA48" s="40"/>
      <c r="FB48" s="40"/>
      <c r="FC48" s="40"/>
      <c r="FD48" s="40"/>
      <c r="FE48" s="40"/>
      <c r="FF48" s="40"/>
      <c r="FG48" s="40"/>
      <c r="FH48" s="40"/>
      <c r="FI48" s="40"/>
      <c r="FJ48" s="40"/>
      <c r="FK48" s="40"/>
      <c r="FL48" s="40"/>
      <c r="FM48" s="40"/>
      <c r="FN48" s="40"/>
      <c r="FO48" s="40"/>
      <c r="FP48" s="40"/>
      <c r="FQ48" s="40"/>
      <c r="FR48" s="40"/>
      <c r="FS48" s="40"/>
      <c r="FT48" s="40"/>
      <c r="FU48" s="40"/>
      <c r="FV48" s="40"/>
      <c r="FW48" s="40"/>
      <c r="FX48" s="40"/>
      <c r="FY48" s="40"/>
      <c r="FZ48" s="40"/>
      <c r="GA48" s="40"/>
      <c r="GB48" s="40"/>
      <c r="GC48" s="40"/>
      <c r="GD48" s="40"/>
      <c r="GE48" s="40"/>
      <c r="GF48" s="40"/>
    </row>
    <row r="49" spans="1:188" ht="15.75" customHeight="1" x14ac:dyDescent="0.4">
      <c r="A49" s="5" t="s">
        <v>385</v>
      </c>
      <c r="B49" s="29" t="s">
        <v>58</v>
      </c>
      <c r="C49" s="7">
        <v>48</v>
      </c>
      <c r="D49" s="7" t="s">
        <v>477</v>
      </c>
      <c r="E49" s="7" t="s">
        <v>478</v>
      </c>
      <c r="F49" s="8" t="s">
        <v>385</v>
      </c>
      <c r="G49" s="8" t="s">
        <v>388</v>
      </c>
      <c r="H49" s="14" t="s">
        <v>104</v>
      </c>
      <c r="I49" s="7" t="s">
        <v>104</v>
      </c>
      <c r="J49" s="31" t="s">
        <v>479</v>
      </c>
      <c r="K49" s="5" t="s">
        <v>390</v>
      </c>
      <c r="L49" s="7" t="s">
        <v>67</v>
      </c>
      <c r="M49" s="7" t="s">
        <v>480</v>
      </c>
      <c r="N49" s="7" t="s">
        <v>69</v>
      </c>
      <c r="O49" s="7" t="s">
        <v>1079</v>
      </c>
      <c r="P49" s="7" t="s">
        <v>1079</v>
      </c>
      <c r="Q49" s="7" t="s">
        <v>1079</v>
      </c>
      <c r="R49" s="7" t="s">
        <v>71</v>
      </c>
      <c r="S49" s="7" t="s">
        <v>392</v>
      </c>
      <c r="T49" s="7" t="s">
        <v>481</v>
      </c>
      <c r="U49" s="7" t="s">
        <v>74</v>
      </c>
      <c r="V49" s="7" t="s">
        <v>70</v>
      </c>
      <c r="W49" s="7" t="s">
        <v>70</v>
      </c>
      <c r="X49" s="7" t="s">
        <v>70</v>
      </c>
      <c r="Y49" s="11">
        <v>61632</v>
      </c>
      <c r="Z49" s="11">
        <f>Y49/12</f>
        <v>5136</v>
      </c>
      <c r="AA49" s="45" t="s">
        <v>143</v>
      </c>
      <c r="AB49" s="17" t="s">
        <v>104</v>
      </c>
      <c r="AC49" s="17" t="s">
        <v>104</v>
      </c>
      <c r="AD49" s="7" t="s">
        <v>358</v>
      </c>
      <c r="AE49" s="7" t="s">
        <v>76</v>
      </c>
      <c r="AF49" s="7" t="s">
        <v>173</v>
      </c>
      <c r="AG49" s="14" t="s">
        <v>104</v>
      </c>
      <c r="AH49" s="14" t="s">
        <v>104</v>
      </c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40"/>
      <c r="BH49" s="40"/>
      <c r="BI49" s="40"/>
      <c r="BJ49" s="40"/>
      <c r="BK49" s="40"/>
      <c r="BL49" s="40"/>
      <c r="BM49" s="40"/>
      <c r="BN49" s="40"/>
      <c r="BO49" s="40"/>
      <c r="BP49" s="40"/>
      <c r="BQ49" s="40"/>
      <c r="BR49" s="40"/>
      <c r="BS49" s="40"/>
      <c r="BT49" s="40"/>
      <c r="BU49" s="40"/>
      <c r="BV49" s="40"/>
      <c r="BW49" s="40"/>
      <c r="BX49" s="40"/>
      <c r="BY49" s="40"/>
      <c r="BZ49" s="40"/>
      <c r="CA49" s="40"/>
      <c r="CB49" s="40"/>
      <c r="CC49" s="40"/>
      <c r="CD49" s="40"/>
      <c r="CE49" s="40"/>
      <c r="CF49" s="40"/>
      <c r="CG49" s="40"/>
      <c r="CH49" s="40"/>
      <c r="CI49" s="40"/>
      <c r="CJ49" s="40"/>
      <c r="CK49" s="40"/>
      <c r="CL49" s="40"/>
      <c r="CM49" s="40"/>
      <c r="CN49" s="40"/>
      <c r="CO49" s="40"/>
      <c r="CP49" s="40"/>
      <c r="CQ49" s="40"/>
      <c r="CR49" s="40"/>
      <c r="CS49" s="40"/>
      <c r="CT49" s="40"/>
      <c r="CU49" s="40"/>
      <c r="CV49" s="40"/>
      <c r="CW49" s="40"/>
      <c r="CX49" s="40"/>
      <c r="CY49" s="40"/>
      <c r="CZ49" s="40"/>
      <c r="DA49" s="40"/>
      <c r="DB49" s="40"/>
      <c r="DC49" s="40"/>
      <c r="DD49" s="40"/>
      <c r="DE49" s="40"/>
      <c r="DF49" s="40"/>
      <c r="DG49" s="40"/>
      <c r="DH49" s="40"/>
      <c r="DI49" s="40"/>
      <c r="DJ49" s="40"/>
      <c r="DK49" s="40"/>
      <c r="DL49" s="40"/>
      <c r="DM49" s="40"/>
      <c r="DN49" s="40"/>
      <c r="DO49" s="40"/>
      <c r="DP49" s="40"/>
      <c r="DQ49" s="40"/>
      <c r="DR49" s="40"/>
      <c r="DS49" s="40"/>
      <c r="DT49" s="40"/>
      <c r="DU49" s="40"/>
      <c r="DV49" s="40"/>
      <c r="DW49" s="40"/>
      <c r="DX49" s="40"/>
      <c r="DY49" s="40"/>
      <c r="DZ49" s="40"/>
      <c r="EA49" s="40"/>
      <c r="EB49" s="40"/>
      <c r="EC49" s="40"/>
      <c r="ED49" s="40"/>
      <c r="EE49" s="40"/>
      <c r="EF49" s="40"/>
      <c r="EG49" s="40"/>
      <c r="EH49" s="40"/>
      <c r="EI49" s="40"/>
      <c r="EJ49" s="40"/>
      <c r="EK49" s="40"/>
      <c r="EL49" s="40"/>
      <c r="EM49" s="40"/>
      <c r="EN49" s="40"/>
      <c r="EO49" s="40"/>
      <c r="EP49" s="40"/>
      <c r="EQ49" s="40"/>
      <c r="ER49" s="40"/>
      <c r="ES49" s="40"/>
      <c r="ET49" s="40"/>
      <c r="EU49" s="40"/>
      <c r="EV49" s="40"/>
      <c r="EW49" s="40"/>
      <c r="EX49" s="40"/>
      <c r="EY49" s="40"/>
      <c r="EZ49" s="40"/>
      <c r="FA49" s="40"/>
      <c r="FB49" s="40"/>
      <c r="FC49" s="40"/>
      <c r="FD49" s="40"/>
      <c r="FE49" s="40"/>
      <c r="FF49" s="40"/>
      <c r="FG49" s="40"/>
      <c r="FH49" s="40"/>
      <c r="FI49" s="40"/>
      <c r="FJ49" s="40"/>
      <c r="FK49" s="40"/>
      <c r="FL49" s="40"/>
      <c r="FM49" s="40"/>
      <c r="FN49" s="40"/>
      <c r="FO49" s="40"/>
      <c r="FP49" s="40"/>
      <c r="FQ49" s="40"/>
      <c r="FR49" s="40"/>
      <c r="FS49" s="40"/>
      <c r="FT49" s="40"/>
      <c r="FU49" s="40"/>
      <c r="FV49" s="40"/>
      <c r="FW49" s="40"/>
      <c r="FX49" s="40"/>
      <c r="FY49" s="40"/>
      <c r="FZ49" s="40"/>
      <c r="GA49" s="40"/>
      <c r="GB49" s="40"/>
      <c r="GC49" s="40"/>
      <c r="GD49" s="40"/>
      <c r="GE49" s="40"/>
      <c r="GF49" s="40"/>
    </row>
    <row r="50" spans="1:188" ht="15.75" customHeight="1" x14ac:dyDescent="0.4">
      <c r="A50" s="46" t="s">
        <v>482</v>
      </c>
      <c r="B50" s="29" t="s">
        <v>58</v>
      </c>
      <c r="C50" s="7">
        <v>49</v>
      </c>
      <c r="D50" s="7" t="s">
        <v>483</v>
      </c>
      <c r="E50" s="7" t="s">
        <v>484</v>
      </c>
      <c r="F50" s="8" t="s">
        <v>485</v>
      </c>
      <c r="G50" s="34" t="s">
        <v>486</v>
      </c>
      <c r="H50" s="7" t="s">
        <v>104</v>
      </c>
      <c r="I50" s="7" t="s">
        <v>104</v>
      </c>
      <c r="J50" s="47" t="s">
        <v>487</v>
      </c>
      <c r="K50" s="8" t="s">
        <v>488</v>
      </c>
      <c r="L50" s="7" t="s">
        <v>489</v>
      </c>
      <c r="M50" s="7" t="s">
        <v>100</v>
      </c>
      <c r="N50" s="7" t="s">
        <v>490</v>
      </c>
      <c r="O50" s="7" t="s">
        <v>491</v>
      </c>
      <c r="P50" s="7" t="s">
        <v>104</v>
      </c>
      <c r="Q50" s="8" t="s">
        <v>492</v>
      </c>
      <c r="R50" s="7" t="s">
        <v>104</v>
      </c>
      <c r="S50" s="7" t="s">
        <v>138</v>
      </c>
      <c r="T50" s="14" t="s">
        <v>493</v>
      </c>
      <c r="U50" s="7" t="s">
        <v>74</v>
      </c>
      <c r="V50" s="7" t="s">
        <v>140</v>
      </c>
      <c r="W50" s="7" t="s">
        <v>74</v>
      </c>
      <c r="X50" s="7" t="s">
        <v>70</v>
      </c>
      <c r="Y50" s="11" t="s">
        <v>494</v>
      </c>
      <c r="Z50" s="11" t="s">
        <v>495</v>
      </c>
      <c r="AA50" s="36" t="s">
        <v>143</v>
      </c>
      <c r="AB50" s="36" t="s">
        <v>104</v>
      </c>
      <c r="AC50" s="36" t="s">
        <v>104</v>
      </c>
      <c r="AD50" s="7" t="s">
        <v>358</v>
      </c>
      <c r="AE50" s="7" t="s">
        <v>76</v>
      </c>
      <c r="AF50" s="7" t="s">
        <v>173</v>
      </c>
      <c r="AG50" s="14" t="s">
        <v>104</v>
      </c>
      <c r="AH50" s="14" t="s">
        <v>104</v>
      </c>
      <c r="AI50" s="37"/>
      <c r="AJ50" s="37"/>
      <c r="AK50" s="37"/>
      <c r="AL50" s="37"/>
      <c r="AM50" s="37"/>
      <c r="AN50" s="37"/>
      <c r="AO50" s="37"/>
      <c r="AP50" s="37"/>
      <c r="AQ50" s="37"/>
      <c r="AR50" s="37"/>
      <c r="AS50" s="37"/>
      <c r="AT50" s="37"/>
      <c r="AU50" s="37"/>
      <c r="AV50" s="37"/>
      <c r="AW50" s="37"/>
      <c r="AX50" s="37"/>
      <c r="AY50" s="37"/>
      <c r="AZ50" s="37"/>
      <c r="BA50" s="37"/>
      <c r="BB50" s="37"/>
      <c r="BC50" s="37"/>
      <c r="BD50" s="37"/>
      <c r="BE50" s="37"/>
      <c r="BF50" s="37"/>
      <c r="BG50" s="40"/>
      <c r="BH50" s="40"/>
      <c r="BI50" s="40"/>
      <c r="BJ50" s="40"/>
      <c r="BK50" s="40"/>
      <c r="BL50" s="40"/>
      <c r="BM50" s="40"/>
      <c r="BN50" s="40"/>
      <c r="BO50" s="40"/>
      <c r="BP50" s="40"/>
      <c r="BQ50" s="40"/>
      <c r="BR50" s="40"/>
      <c r="BS50" s="40"/>
      <c r="BT50" s="40"/>
      <c r="BU50" s="40"/>
      <c r="BV50" s="40"/>
      <c r="BW50" s="40"/>
      <c r="BX50" s="40"/>
      <c r="BY50" s="40"/>
      <c r="BZ50" s="40"/>
      <c r="CA50" s="40"/>
      <c r="CB50" s="40"/>
      <c r="CC50" s="40"/>
      <c r="CD50" s="40"/>
      <c r="CE50" s="40"/>
      <c r="CF50" s="40"/>
      <c r="CG50" s="40"/>
      <c r="CH50" s="40"/>
      <c r="CI50" s="40"/>
      <c r="CJ50" s="40"/>
      <c r="CK50" s="40"/>
      <c r="CL50" s="40"/>
      <c r="CM50" s="40"/>
      <c r="CN50" s="40"/>
      <c r="CO50" s="40"/>
      <c r="CP50" s="40"/>
      <c r="CQ50" s="40"/>
      <c r="CR50" s="40"/>
      <c r="CS50" s="40"/>
      <c r="CT50" s="40"/>
      <c r="CU50" s="40"/>
      <c r="CV50" s="40"/>
      <c r="CW50" s="40"/>
      <c r="CX50" s="40"/>
      <c r="CY50" s="40"/>
      <c r="CZ50" s="40"/>
      <c r="DA50" s="40"/>
      <c r="DB50" s="40"/>
      <c r="DC50" s="40"/>
      <c r="DD50" s="40"/>
      <c r="DE50" s="40"/>
      <c r="DF50" s="40"/>
      <c r="DG50" s="40"/>
      <c r="DH50" s="40"/>
      <c r="DI50" s="40"/>
      <c r="DJ50" s="40"/>
      <c r="DK50" s="40"/>
      <c r="DL50" s="40"/>
      <c r="DM50" s="40"/>
      <c r="DN50" s="40"/>
      <c r="DO50" s="40"/>
      <c r="DP50" s="40"/>
      <c r="DQ50" s="40"/>
      <c r="DR50" s="40"/>
      <c r="DS50" s="40"/>
      <c r="DT50" s="40"/>
      <c r="DU50" s="40"/>
      <c r="DV50" s="40"/>
      <c r="DW50" s="40"/>
      <c r="DX50" s="40"/>
      <c r="DY50" s="40"/>
      <c r="DZ50" s="40"/>
      <c r="EA50" s="40"/>
      <c r="EB50" s="40"/>
      <c r="EC50" s="40"/>
      <c r="ED50" s="40"/>
      <c r="EE50" s="40"/>
      <c r="EF50" s="40"/>
      <c r="EG50" s="40"/>
      <c r="EH50" s="40"/>
      <c r="EI50" s="40"/>
      <c r="EJ50" s="40"/>
      <c r="EK50" s="40"/>
      <c r="EL50" s="40"/>
      <c r="EM50" s="40"/>
      <c r="EN50" s="40"/>
      <c r="EO50" s="40"/>
      <c r="EP50" s="40"/>
      <c r="EQ50" s="40"/>
      <c r="ER50" s="40"/>
      <c r="ES50" s="40"/>
      <c r="ET50" s="40"/>
      <c r="EU50" s="40"/>
      <c r="EV50" s="40"/>
      <c r="EW50" s="40"/>
      <c r="EX50" s="40"/>
      <c r="EY50" s="40"/>
      <c r="EZ50" s="40"/>
      <c r="FA50" s="40"/>
      <c r="FB50" s="40"/>
      <c r="FC50" s="40"/>
      <c r="FD50" s="40"/>
      <c r="FE50" s="40"/>
      <c r="FF50" s="40"/>
      <c r="FG50" s="40"/>
      <c r="FH50" s="40"/>
      <c r="FI50" s="40"/>
      <c r="FJ50" s="40"/>
      <c r="FK50" s="40"/>
      <c r="FL50" s="40"/>
      <c r="FM50" s="40"/>
      <c r="FN50" s="40"/>
      <c r="FO50" s="40"/>
      <c r="FP50" s="40"/>
      <c r="FQ50" s="40"/>
      <c r="FR50" s="40"/>
      <c r="FS50" s="40"/>
      <c r="FT50" s="40"/>
      <c r="FU50" s="40"/>
      <c r="FV50" s="40"/>
      <c r="FW50" s="40"/>
      <c r="FX50" s="40"/>
      <c r="FY50" s="40"/>
      <c r="FZ50" s="40"/>
      <c r="GA50" s="40"/>
      <c r="GB50" s="40"/>
      <c r="GC50" s="40"/>
      <c r="GD50" s="40"/>
      <c r="GE50" s="40"/>
      <c r="GF50" s="40"/>
    </row>
    <row r="51" spans="1:188" ht="15.75" customHeight="1" x14ac:dyDescent="0.4">
      <c r="A51" s="46" t="s">
        <v>496</v>
      </c>
      <c r="B51" s="29" t="s">
        <v>58</v>
      </c>
      <c r="C51" s="7">
        <v>50</v>
      </c>
      <c r="D51" s="7" t="s">
        <v>483</v>
      </c>
      <c r="E51" s="7" t="s">
        <v>484</v>
      </c>
      <c r="F51" s="8" t="s">
        <v>496</v>
      </c>
      <c r="G51" s="34" t="s">
        <v>104</v>
      </c>
      <c r="H51" s="7" t="s">
        <v>104</v>
      </c>
      <c r="I51" s="7" t="s">
        <v>104</v>
      </c>
      <c r="J51" s="47" t="s">
        <v>487</v>
      </c>
      <c r="K51" s="8" t="s">
        <v>497</v>
      </c>
      <c r="L51" s="7" t="s">
        <v>489</v>
      </c>
      <c r="M51" s="7" t="s">
        <v>100</v>
      </c>
      <c r="N51" s="7" t="s">
        <v>490</v>
      </c>
      <c r="O51" s="7" t="s">
        <v>491</v>
      </c>
      <c r="P51" s="7" t="s">
        <v>104</v>
      </c>
      <c r="Q51" s="8" t="s">
        <v>498</v>
      </c>
      <c r="R51" s="7" t="s">
        <v>104</v>
      </c>
      <c r="S51" s="7" t="s">
        <v>138</v>
      </c>
      <c r="T51" s="14" t="s">
        <v>493</v>
      </c>
      <c r="U51" s="7" t="s">
        <v>74</v>
      </c>
      <c r="V51" s="7" t="s">
        <v>140</v>
      </c>
      <c r="W51" s="7" t="s">
        <v>74</v>
      </c>
      <c r="X51" s="7" t="s">
        <v>70</v>
      </c>
      <c r="Y51" s="11" t="s">
        <v>499</v>
      </c>
      <c r="Z51" s="11" t="s">
        <v>500</v>
      </c>
      <c r="AA51" s="36" t="s">
        <v>143</v>
      </c>
      <c r="AB51" s="36" t="s">
        <v>104</v>
      </c>
      <c r="AC51" s="36" t="s">
        <v>104</v>
      </c>
      <c r="AD51" s="7" t="s">
        <v>358</v>
      </c>
      <c r="AE51" s="7" t="s">
        <v>76</v>
      </c>
      <c r="AF51" s="7" t="s">
        <v>173</v>
      </c>
      <c r="AG51" s="14" t="s">
        <v>104</v>
      </c>
      <c r="AH51" s="14" t="s">
        <v>104</v>
      </c>
      <c r="AI51" s="37"/>
      <c r="AJ51" s="37"/>
      <c r="AK51" s="37"/>
      <c r="AL51" s="37"/>
      <c r="AM51" s="37"/>
      <c r="AN51" s="37"/>
      <c r="AO51" s="37"/>
      <c r="AP51" s="37"/>
      <c r="AQ51" s="37"/>
      <c r="AR51" s="37"/>
      <c r="AS51" s="37"/>
      <c r="AT51" s="37"/>
      <c r="AU51" s="37"/>
      <c r="AV51" s="37"/>
      <c r="AW51" s="37"/>
      <c r="AX51" s="37"/>
      <c r="AY51" s="37"/>
      <c r="AZ51" s="37"/>
      <c r="BA51" s="37"/>
      <c r="BB51" s="37"/>
      <c r="BC51" s="37"/>
      <c r="BD51" s="37"/>
      <c r="BE51" s="37"/>
      <c r="BF51" s="37"/>
      <c r="BG51" s="40"/>
      <c r="BH51" s="40"/>
      <c r="BI51" s="40"/>
      <c r="BJ51" s="40"/>
      <c r="BK51" s="40"/>
      <c r="BL51" s="40"/>
      <c r="BM51" s="40"/>
      <c r="BN51" s="40"/>
      <c r="BO51" s="40"/>
      <c r="BP51" s="40"/>
      <c r="BQ51" s="40"/>
      <c r="BR51" s="40"/>
      <c r="BS51" s="40"/>
      <c r="BT51" s="40"/>
      <c r="BU51" s="40"/>
      <c r="BV51" s="40"/>
      <c r="BW51" s="40"/>
      <c r="BX51" s="40"/>
      <c r="BY51" s="40"/>
      <c r="BZ51" s="40"/>
      <c r="CA51" s="40"/>
      <c r="CB51" s="40"/>
      <c r="CC51" s="40"/>
      <c r="CD51" s="40"/>
      <c r="CE51" s="40"/>
      <c r="CF51" s="40"/>
      <c r="CG51" s="40"/>
      <c r="CH51" s="40"/>
      <c r="CI51" s="40"/>
      <c r="CJ51" s="40"/>
      <c r="CK51" s="40"/>
      <c r="CL51" s="40"/>
      <c r="CM51" s="40"/>
      <c r="CN51" s="40"/>
      <c r="CO51" s="40"/>
      <c r="CP51" s="40"/>
      <c r="CQ51" s="40"/>
      <c r="CR51" s="40"/>
      <c r="CS51" s="40"/>
      <c r="CT51" s="40"/>
      <c r="CU51" s="40"/>
      <c r="CV51" s="40"/>
      <c r="CW51" s="40"/>
      <c r="CX51" s="40"/>
      <c r="CY51" s="40"/>
      <c r="CZ51" s="40"/>
      <c r="DA51" s="40"/>
      <c r="DB51" s="40"/>
      <c r="DC51" s="40"/>
      <c r="DD51" s="40"/>
      <c r="DE51" s="40"/>
      <c r="DF51" s="40"/>
      <c r="DG51" s="40"/>
      <c r="DH51" s="40"/>
      <c r="DI51" s="40"/>
      <c r="DJ51" s="40"/>
      <c r="DK51" s="40"/>
      <c r="DL51" s="40"/>
      <c r="DM51" s="40"/>
      <c r="DN51" s="40"/>
      <c r="DO51" s="40"/>
      <c r="DP51" s="40"/>
      <c r="DQ51" s="40"/>
      <c r="DR51" s="40"/>
      <c r="DS51" s="40"/>
      <c r="DT51" s="40"/>
      <c r="DU51" s="40"/>
      <c r="DV51" s="40"/>
      <c r="DW51" s="40"/>
      <c r="DX51" s="40"/>
      <c r="DY51" s="40"/>
      <c r="DZ51" s="40"/>
      <c r="EA51" s="40"/>
      <c r="EB51" s="40"/>
      <c r="EC51" s="40"/>
      <c r="ED51" s="40"/>
      <c r="EE51" s="40"/>
      <c r="EF51" s="40"/>
      <c r="EG51" s="40"/>
      <c r="EH51" s="40"/>
      <c r="EI51" s="40"/>
      <c r="EJ51" s="40"/>
      <c r="EK51" s="40"/>
      <c r="EL51" s="40"/>
      <c r="EM51" s="40"/>
      <c r="EN51" s="40"/>
      <c r="EO51" s="40"/>
      <c r="EP51" s="40"/>
      <c r="EQ51" s="40"/>
      <c r="ER51" s="40"/>
      <c r="ES51" s="40"/>
      <c r="ET51" s="40"/>
      <c r="EU51" s="40"/>
      <c r="EV51" s="40"/>
      <c r="EW51" s="40"/>
      <c r="EX51" s="40"/>
      <c r="EY51" s="40"/>
      <c r="EZ51" s="40"/>
      <c r="FA51" s="40"/>
      <c r="FB51" s="40"/>
      <c r="FC51" s="40"/>
      <c r="FD51" s="40"/>
      <c r="FE51" s="40"/>
      <c r="FF51" s="40"/>
      <c r="FG51" s="40"/>
      <c r="FH51" s="40"/>
      <c r="FI51" s="40"/>
      <c r="FJ51" s="40"/>
      <c r="FK51" s="40"/>
      <c r="FL51" s="40"/>
      <c r="FM51" s="40"/>
      <c r="FN51" s="40"/>
      <c r="FO51" s="40"/>
      <c r="FP51" s="40"/>
      <c r="FQ51" s="40"/>
      <c r="FR51" s="40"/>
      <c r="FS51" s="40"/>
      <c r="FT51" s="40"/>
      <c r="FU51" s="40"/>
      <c r="FV51" s="40"/>
      <c r="FW51" s="40"/>
      <c r="FX51" s="40"/>
      <c r="FY51" s="40"/>
      <c r="FZ51" s="40"/>
      <c r="GA51" s="40"/>
      <c r="GB51" s="40"/>
      <c r="GC51" s="40"/>
      <c r="GD51" s="40"/>
      <c r="GE51" s="40"/>
      <c r="GF51" s="40"/>
    </row>
    <row r="52" spans="1:188" ht="15.75" customHeight="1" x14ac:dyDescent="0.4">
      <c r="A52" s="19" t="s">
        <v>501</v>
      </c>
      <c r="B52" s="29" t="s">
        <v>58</v>
      </c>
      <c r="C52" s="7">
        <v>51</v>
      </c>
      <c r="D52" s="7" t="s">
        <v>502</v>
      </c>
      <c r="E52" s="7" t="s">
        <v>503</v>
      </c>
      <c r="F52" s="8" t="s">
        <v>504</v>
      </c>
      <c r="G52" s="34" t="s">
        <v>505</v>
      </c>
      <c r="H52" s="7" t="s">
        <v>506</v>
      </c>
      <c r="I52" s="7" t="s">
        <v>104</v>
      </c>
      <c r="J52" s="47" t="s">
        <v>507</v>
      </c>
      <c r="K52" s="8" t="s">
        <v>508</v>
      </c>
      <c r="L52" s="7" t="s">
        <v>489</v>
      </c>
      <c r="M52" s="7" t="s">
        <v>366</v>
      </c>
      <c r="N52" s="7" t="s">
        <v>509</v>
      </c>
      <c r="O52" s="7" t="s">
        <v>510</v>
      </c>
      <c r="P52" s="7" t="s">
        <v>278</v>
      </c>
      <c r="Q52" s="8" t="s">
        <v>511</v>
      </c>
      <c r="R52" s="7" t="s">
        <v>278</v>
      </c>
      <c r="S52" s="7" t="s">
        <v>512</v>
      </c>
      <c r="T52" s="14" t="s">
        <v>513</v>
      </c>
      <c r="U52" s="7" t="s">
        <v>74</v>
      </c>
      <c r="V52" s="7" t="s">
        <v>514</v>
      </c>
      <c r="W52" s="7" t="s">
        <v>74</v>
      </c>
      <c r="X52" s="7" t="s">
        <v>70</v>
      </c>
      <c r="Y52" s="11" t="s">
        <v>515</v>
      </c>
      <c r="Z52" s="11" t="s">
        <v>516</v>
      </c>
      <c r="AA52" s="36" t="s">
        <v>143</v>
      </c>
      <c r="AB52" s="36" t="s">
        <v>104</v>
      </c>
      <c r="AC52" s="36" t="s">
        <v>104</v>
      </c>
      <c r="AD52" s="7" t="s">
        <v>358</v>
      </c>
      <c r="AE52" s="7" t="s">
        <v>76</v>
      </c>
      <c r="AF52" s="7" t="s">
        <v>173</v>
      </c>
      <c r="AG52" s="14" t="s">
        <v>104</v>
      </c>
      <c r="AH52" s="14" t="s">
        <v>104</v>
      </c>
      <c r="AI52" s="37"/>
      <c r="AJ52" s="37"/>
      <c r="AK52" s="37"/>
      <c r="AL52" s="37"/>
      <c r="AM52" s="37"/>
      <c r="AN52" s="37"/>
      <c r="AO52" s="37"/>
      <c r="AP52" s="37"/>
      <c r="AQ52" s="37"/>
      <c r="AR52" s="37"/>
      <c r="AS52" s="37"/>
      <c r="AT52" s="37"/>
      <c r="AU52" s="37"/>
      <c r="AV52" s="37"/>
      <c r="AW52" s="37"/>
      <c r="AX52" s="37"/>
      <c r="AY52" s="37"/>
      <c r="AZ52" s="37"/>
      <c r="BA52" s="37"/>
      <c r="BB52" s="37"/>
      <c r="BC52" s="37"/>
      <c r="BD52" s="37"/>
      <c r="BE52" s="37"/>
      <c r="BF52" s="37"/>
      <c r="BG52" s="40"/>
      <c r="BH52" s="40"/>
      <c r="BI52" s="40"/>
      <c r="BJ52" s="40"/>
      <c r="BK52" s="40"/>
      <c r="BL52" s="40"/>
      <c r="BM52" s="40"/>
      <c r="BN52" s="40"/>
      <c r="BO52" s="40"/>
      <c r="BP52" s="40"/>
      <c r="BQ52" s="40"/>
      <c r="BR52" s="40"/>
      <c r="BS52" s="40"/>
      <c r="BT52" s="40"/>
      <c r="BU52" s="40"/>
      <c r="BV52" s="40"/>
      <c r="BW52" s="40"/>
      <c r="BX52" s="40"/>
      <c r="BY52" s="40"/>
      <c r="BZ52" s="40"/>
      <c r="CA52" s="40"/>
      <c r="CB52" s="40"/>
      <c r="CC52" s="40"/>
      <c r="CD52" s="40"/>
      <c r="CE52" s="40"/>
      <c r="CF52" s="40"/>
      <c r="CG52" s="40"/>
      <c r="CH52" s="40"/>
      <c r="CI52" s="40"/>
      <c r="CJ52" s="40"/>
      <c r="CK52" s="40"/>
      <c r="CL52" s="40"/>
      <c r="CM52" s="40"/>
      <c r="CN52" s="40"/>
      <c r="CO52" s="40"/>
      <c r="CP52" s="40"/>
      <c r="CQ52" s="40"/>
      <c r="CR52" s="40"/>
      <c r="CS52" s="40"/>
      <c r="CT52" s="40"/>
      <c r="CU52" s="40"/>
      <c r="CV52" s="40"/>
      <c r="CW52" s="40"/>
      <c r="CX52" s="40"/>
      <c r="CY52" s="40"/>
      <c r="CZ52" s="40"/>
      <c r="DA52" s="40"/>
      <c r="DB52" s="40"/>
      <c r="DC52" s="40"/>
      <c r="DD52" s="40"/>
      <c r="DE52" s="40"/>
      <c r="DF52" s="40"/>
      <c r="DG52" s="40"/>
      <c r="DH52" s="40"/>
      <c r="DI52" s="40"/>
      <c r="DJ52" s="40"/>
      <c r="DK52" s="40"/>
      <c r="DL52" s="40"/>
      <c r="DM52" s="40"/>
      <c r="DN52" s="40"/>
      <c r="DO52" s="40"/>
      <c r="DP52" s="40"/>
      <c r="DQ52" s="40"/>
      <c r="DR52" s="40"/>
      <c r="DS52" s="40"/>
      <c r="DT52" s="40"/>
      <c r="DU52" s="40"/>
      <c r="DV52" s="40"/>
      <c r="DW52" s="40"/>
      <c r="DX52" s="40"/>
      <c r="DY52" s="40"/>
      <c r="DZ52" s="40"/>
      <c r="EA52" s="40"/>
      <c r="EB52" s="40"/>
      <c r="EC52" s="40"/>
      <c r="ED52" s="40"/>
      <c r="EE52" s="40"/>
      <c r="EF52" s="40"/>
      <c r="EG52" s="40"/>
      <c r="EH52" s="40"/>
      <c r="EI52" s="40"/>
      <c r="EJ52" s="40"/>
      <c r="EK52" s="40"/>
      <c r="EL52" s="40"/>
      <c r="EM52" s="40"/>
      <c r="EN52" s="40"/>
      <c r="EO52" s="40"/>
      <c r="EP52" s="40"/>
      <c r="EQ52" s="40"/>
      <c r="ER52" s="40"/>
      <c r="ES52" s="40"/>
      <c r="ET52" s="40"/>
      <c r="EU52" s="40"/>
      <c r="EV52" s="40"/>
      <c r="EW52" s="40"/>
      <c r="EX52" s="40"/>
      <c r="EY52" s="40"/>
      <c r="EZ52" s="40"/>
      <c r="FA52" s="40"/>
      <c r="FB52" s="40"/>
      <c r="FC52" s="40"/>
      <c r="FD52" s="40"/>
      <c r="FE52" s="40"/>
      <c r="FF52" s="40"/>
      <c r="FG52" s="40"/>
      <c r="FH52" s="40"/>
      <c r="FI52" s="40"/>
      <c r="FJ52" s="40"/>
      <c r="FK52" s="40"/>
      <c r="FL52" s="40"/>
      <c r="FM52" s="40"/>
      <c r="FN52" s="40"/>
      <c r="FO52" s="40"/>
      <c r="FP52" s="40"/>
      <c r="FQ52" s="40"/>
      <c r="FR52" s="40"/>
      <c r="FS52" s="40"/>
      <c r="FT52" s="40"/>
      <c r="FU52" s="40"/>
      <c r="FV52" s="40"/>
      <c r="FW52" s="40"/>
      <c r="FX52" s="40"/>
      <c r="FY52" s="40"/>
      <c r="FZ52" s="40"/>
      <c r="GA52" s="40"/>
      <c r="GB52" s="40"/>
      <c r="GC52" s="40"/>
      <c r="GD52" s="40"/>
      <c r="GE52" s="40"/>
      <c r="GF52" s="40"/>
    </row>
    <row r="53" spans="1:188" ht="15.75" customHeight="1" x14ac:dyDescent="0.4">
      <c r="A53" s="19" t="s">
        <v>517</v>
      </c>
      <c r="B53" s="29" t="s">
        <v>58</v>
      </c>
      <c r="C53" s="7">
        <v>52</v>
      </c>
      <c r="D53" s="7" t="s">
        <v>518</v>
      </c>
      <c r="E53" s="7" t="s">
        <v>519</v>
      </c>
      <c r="F53" s="8" t="s">
        <v>520</v>
      </c>
      <c r="G53" s="34" t="s">
        <v>521</v>
      </c>
      <c r="H53" s="7" t="s">
        <v>522</v>
      </c>
      <c r="I53" s="7" t="s">
        <v>104</v>
      </c>
      <c r="J53" s="47" t="s">
        <v>507</v>
      </c>
      <c r="K53" s="8" t="s">
        <v>523</v>
      </c>
      <c r="L53" s="7" t="s">
        <v>489</v>
      </c>
      <c r="M53" s="7" t="s">
        <v>366</v>
      </c>
      <c r="N53" s="7" t="s">
        <v>509</v>
      </c>
      <c r="O53" s="7" t="s">
        <v>510</v>
      </c>
      <c r="P53" s="7" t="s">
        <v>278</v>
      </c>
      <c r="Q53" s="8" t="s">
        <v>524</v>
      </c>
      <c r="R53" s="7" t="s">
        <v>278</v>
      </c>
      <c r="S53" s="7" t="s">
        <v>512</v>
      </c>
      <c r="T53" s="14" t="s">
        <v>513</v>
      </c>
      <c r="U53" s="7" t="s">
        <v>74</v>
      </c>
      <c r="V53" s="7" t="s">
        <v>514</v>
      </c>
      <c r="W53" s="7" t="s">
        <v>74</v>
      </c>
      <c r="X53" s="7" t="s">
        <v>70</v>
      </c>
      <c r="Y53" s="11" t="s">
        <v>525</v>
      </c>
      <c r="Z53" s="11" t="s">
        <v>526</v>
      </c>
      <c r="AA53" s="36" t="s">
        <v>143</v>
      </c>
      <c r="AB53" s="36" t="s">
        <v>104</v>
      </c>
      <c r="AC53" s="36" t="s">
        <v>104</v>
      </c>
      <c r="AD53" s="7" t="s">
        <v>358</v>
      </c>
      <c r="AE53" s="7" t="s">
        <v>76</v>
      </c>
      <c r="AF53" s="7" t="s">
        <v>173</v>
      </c>
      <c r="AG53" s="14" t="s">
        <v>104</v>
      </c>
      <c r="AH53" s="14" t="s">
        <v>104</v>
      </c>
      <c r="AI53" s="37"/>
      <c r="AJ53" s="37"/>
      <c r="AK53" s="37"/>
      <c r="AL53" s="37"/>
      <c r="AM53" s="37"/>
      <c r="AN53" s="37"/>
      <c r="AO53" s="37"/>
      <c r="AP53" s="37"/>
      <c r="AQ53" s="37"/>
      <c r="AR53" s="37"/>
      <c r="AS53" s="37"/>
      <c r="AT53" s="37"/>
      <c r="AU53" s="37"/>
      <c r="AV53" s="37"/>
      <c r="AW53" s="37"/>
      <c r="AX53" s="37"/>
      <c r="AY53" s="37"/>
      <c r="AZ53" s="37"/>
      <c r="BA53" s="37"/>
      <c r="BB53" s="37"/>
      <c r="BC53" s="37"/>
      <c r="BD53" s="37"/>
      <c r="BE53" s="37"/>
      <c r="BF53" s="37"/>
      <c r="BG53" s="40"/>
      <c r="BH53" s="40"/>
      <c r="BI53" s="40"/>
      <c r="BJ53" s="40"/>
      <c r="BK53" s="40"/>
      <c r="BL53" s="40"/>
      <c r="BM53" s="40"/>
      <c r="BN53" s="40"/>
      <c r="BO53" s="40"/>
      <c r="BP53" s="40"/>
      <c r="BQ53" s="40"/>
      <c r="BR53" s="40"/>
      <c r="BS53" s="40"/>
      <c r="BT53" s="40"/>
      <c r="BU53" s="40"/>
      <c r="BV53" s="40"/>
      <c r="BW53" s="40"/>
      <c r="BX53" s="40"/>
      <c r="BY53" s="40"/>
      <c r="BZ53" s="40"/>
      <c r="CA53" s="40"/>
      <c r="CB53" s="40"/>
      <c r="CC53" s="40"/>
      <c r="CD53" s="40"/>
      <c r="CE53" s="40"/>
      <c r="CF53" s="40"/>
      <c r="CG53" s="40"/>
      <c r="CH53" s="40"/>
      <c r="CI53" s="40"/>
      <c r="CJ53" s="40"/>
      <c r="CK53" s="40"/>
      <c r="CL53" s="40"/>
      <c r="CM53" s="40"/>
      <c r="CN53" s="40"/>
      <c r="CO53" s="40"/>
      <c r="CP53" s="40"/>
      <c r="CQ53" s="40"/>
      <c r="CR53" s="40"/>
      <c r="CS53" s="40"/>
      <c r="CT53" s="40"/>
      <c r="CU53" s="40"/>
      <c r="CV53" s="40"/>
      <c r="CW53" s="40"/>
      <c r="CX53" s="40"/>
      <c r="CY53" s="40"/>
      <c r="CZ53" s="40"/>
      <c r="DA53" s="40"/>
      <c r="DB53" s="40"/>
      <c r="DC53" s="40"/>
      <c r="DD53" s="40"/>
      <c r="DE53" s="40"/>
      <c r="DF53" s="40"/>
      <c r="DG53" s="40"/>
      <c r="DH53" s="40"/>
      <c r="DI53" s="40"/>
      <c r="DJ53" s="40"/>
      <c r="DK53" s="40"/>
      <c r="DL53" s="40"/>
      <c r="DM53" s="40"/>
      <c r="DN53" s="40"/>
      <c r="DO53" s="40"/>
      <c r="DP53" s="40"/>
      <c r="DQ53" s="40"/>
      <c r="DR53" s="40"/>
      <c r="DS53" s="40"/>
      <c r="DT53" s="40"/>
      <c r="DU53" s="40"/>
      <c r="DV53" s="40"/>
      <c r="DW53" s="40"/>
      <c r="DX53" s="40"/>
      <c r="DY53" s="40"/>
      <c r="DZ53" s="40"/>
      <c r="EA53" s="40"/>
      <c r="EB53" s="40"/>
      <c r="EC53" s="40"/>
      <c r="ED53" s="40"/>
      <c r="EE53" s="40"/>
      <c r="EF53" s="40"/>
      <c r="EG53" s="40"/>
      <c r="EH53" s="40"/>
      <c r="EI53" s="40"/>
      <c r="EJ53" s="40"/>
      <c r="EK53" s="40"/>
      <c r="EL53" s="40"/>
      <c r="EM53" s="40"/>
      <c r="EN53" s="40"/>
      <c r="EO53" s="40"/>
      <c r="EP53" s="40"/>
      <c r="EQ53" s="40"/>
      <c r="ER53" s="40"/>
      <c r="ES53" s="40"/>
      <c r="ET53" s="40"/>
      <c r="EU53" s="40"/>
      <c r="EV53" s="40"/>
      <c r="EW53" s="40"/>
      <c r="EX53" s="40"/>
      <c r="EY53" s="40"/>
      <c r="EZ53" s="40"/>
      <c r="FA53" s="40"/>
      <c r="FB53" s="40"/>
      <c r="FC53" s="40"/>
      <c r="FD53" s="40"/>
      <c r="FE53" s="40"/>
      <c r="FF53" s="40"/>
      <c r="FG53" s="40"/>
      <c r="FH53" s="40"/>
      <c r="FI53" s="40"/>
      <c r="FJ53" s="40"/>
      <c r="FK53" s="40"/>
      <c r="FL53" s="40"/>
      <c r="FM53" s="40"/>
      <c r="FN53" s="40"/>
      <c r="FO53" s="40"/>
      <c r="FP53" s="40"/>
      <c r="FQ53" s="40"/>
      <c r="FR53" s="40"/>
      <c r="FS53" s="40"/>
      <c r="FT53" s="40"/>
      <c r="FU53" s="40"/>
      <c r="FV53" s="40"/>
      <c r="FW53" s="40"/>
      <c r="FX53" s="40"/>
      <c r="FY53" s="40"/>
      <c r="FZ53" s="40"/>
      <c r="GA53" s="40"/>
      <c r="GB53" s="40"/>
      <c r="GC53" s="40"/>
      <c r="GD53" s="40"/>
      <c r="GE53" s="40"/>
      <c r="GF53" s="40"/>
    </row>
    <row r="54" spans="1:188" ht="15.75" customHeight="1" x14ac:dyDescent="0.4">
      <c r="A54" s="48" t="s">
        <v>527</v>
      </c>
      <c r="B54" s="29" t="s">
        <v>58</v>
      </c>
      <c r="C54" s="7">
        <v>53</v>
      </c>
      <c r="D54" s="7" t="s">
        <v>528</v>
      </c>
      <c r="E54" s="7" t="s">
        <v>529</v>
      </c>
      <c r="F54" s="8" t="s">
        <v>530</v>
      </c>
      <c r="G54" s="34" t="s">
        <v>531</v>
      </c>
      <c r="H54" s="7" t="s">
        <v>532</v>
      </c>
      <c r="I54" s="7" t="s">
        <v>104</v>
      </c>
      <c r="J54" s="47" t="s">
        <v>533</v>
      </c>
      <c r="K54" s="8" t="s">
        <v>534</v>
      </c>
      <c r="L54" s="7" t="s">
        <v>489</v>
      </c>
      <c r="M54" s="7" t="s">
        <v>375</v>
      </c>
      <c r="N54" s="7" t="s">
        <v>535</v>
      </c>
      <c r="O54" s="7" t="s">
        <v>536</v>
      </c>
      <c r="P54" s="7" t="s">
        <v>537</v>
      </c>
      <c r="Q54" s="8" t="s">
        <v>538</v>
      </c>
      <c r="R54" s="7" t="s">
        <v>537</v>
      </c>
      <c r="S54" s="7" t="s">
        <v>539</v>
      </c>
      <c r="T54" s="14" t="s">
        <v>540</v>
      </c>
      <c r="U54" s="7" t="s">
        <v>74</v>
      </c>
      <c r="V54" s="7" t="s">
        <v>540</v>
      </c>
      <c r="W54" s="7" t="s">
        <v>74</v>
      </c>
      <c r="X54" s="7" t="s">
        <v>70</v>
      </c>
      <c r="Y54" s="11" t="s">
        <v>536</v>
      </c>
      <c r="Z54" s="11" t="s">
        <v>541</v>
      </c>
      <c r="AA54" s="36" t="s">
        <v>143</v>
      </c>
      <c r="AB54" s="36" t="s">
        <v>104</v>
      </c>
      <c r="AC54" s="36" t="s">
        <v>104</v>
      </c>
      <c r="AD54" s="7" t="s">
        <v>358</v>
      </c>
      <c r="AE54" s="7" t="s">
        <v>76</v>
      </c>
      <c r="AF54" s="7" t="s">
        <v>173</v>
      </c>
      <c r="AG54" s="14" t="s">
        <v>104</v>
      </c>
      <c r="AH54" s="14" t="s">
        <v>104</v>
      </c>
      <c r="AI54" s="37"/>
      <c r="AJ54" s="37"/>
      <c r="AK54" s="37"/>
      <c r="AL54" s="37"/>
      <c r="AM54" s="37"/>
      <c r="AN54" s="37"/>
      <c r="AO54" s="37"/>
      <c r="AP54" s="37"/>
      <c r="AQ54" s="37"/>
      <c r="AR54" s="37"/>
      <c r="AS54" s="37"/>
      <c r="AT54" s="37"/>
      <c r="AU54" s="37"/>
      <c r="AV54" s="37"/>
      <c r="AW54" s="37"/>
      <c r="AX54" s="37"/>
      <c r="AY54" s="37"/>
      <c r="AZ54" s="37"/>
      <c r="BA54" s="37"/>
      <c r="BB54" s="37"/>
      <c r="BC54" s="37"/>
      <c r="BD54" s="37"/>
      <c r="BE54" s="37"/>
      <c r="BF54" s="37"/>
      <c r="BG54" s="40"/>
      <c r="BH54" s="40"/>
      <c r="BI54" s="40"/>
      <c r="BJ54" s="40"/>
      <c r="BK54" s="40"/>
      <c r="BL54" s="40"/>
      <c r="BM54" s="40"/>
      <c r="BN54" s="40"/>
      <c r="BO54" s="40"/>
      <c r="BP54" s="40"/>
      <c r="BQ54" s="40"/>
      <c r="BR54" s="40"/>
      <c r="BS54" s="40"/>
      <c r="BT54" s="40"/>
      <c r="BU54" s="40"/>
      <c r="BV54" s="40"/>
      <c r="BW54" s="40"/>
      <c r="BX54" s="40"/>
      <c r="BY54" s="40"/>
      <c r="BZ54" s="40"/>
      <c r="CA54" s="40"/>
      <c r="CB54" s="40"/>
      <c r="CC54" s="40"/>
      <c r="CD54" s="40"/>
      <c r="CE54" s="40"/>
      <c r="CF54" s="40"/>
      <c r="CG54" s="40"/>
      <c r="CH54" s="40"/>
      <c r="CI54" s="40"/>
      <c r="CJ54" s="40"/>
      <c r="CK54" s="40"/>
      <c r="CL54" s="40"/>
      <c r="CM54" s="40"/>
      <c r="CN54" s="40"/>
      <c r="CO54" s="40"/>
      <c r="CP54" s="40"/>
      <c r="CQ54" s="40"/>
      <c r="CR54" s="40"/>
      <c r="CS54" s="40"/>
      <c r="CT54" s="40"/>
      <c r="CU54" s="40"/>
      <c r="CV54" s="40"/>
      <c r="CW54" s="40"/>
      <c r="CX54" s="40"/>
      <c r="CY54" s="40"/>
      <c r="CZ54" s="40"/>
      <c r="DA54" s="40"/>
      <c r="DB54" s="40"/>
      <c r="DC54" s="40"/>
      <c r="DD54" s="40"/>
      <c r="DE54" s="40"/>
      <c r="DF54" s="40"/>
      <c r="DG54" s="40"/>
      <c r="DH54" s="40"/>
      <c r="DI54" s="40"/>
      <c r="DJ54" s="40"/>
      <c r="DK54" s="40"/>
      <c r="DL54" s="40"/>
      <c r="DM54" s="40"/>
      <c r="DN54" s="40"/>
      <c r="DO54" s="40"/>
      <c r="DP54" s="40"/>
      <c r="DQ54" s="40"/>
      <c r="DR54" s="40"/>
      <c r="DS54" s="40"/>
      <c r="DT54" s="40"/>
      <c r="DU54" s="40"/>
      <c r="DV54" s="40"/>
      <c r="DW54" s="40"/>
      <c r="DX54" s="40"/>
      <c r="DY54" s="40"/>
      <c r="DZ54" s="40"/>
      <c r="EA54" s="40"/>
      <c r="EB54" s="40"/>
      <c r="EC54" s="40"/>
      <c r="ED54" s="40"/>
      <c r="EE54" s="40"/>
      <c r="EF54" s="40"/>
      <c r="EG54" s="40"/>
      <c r="EH54" s="40"/>
      <c r="EI54" s="40"/>
      <c r="EJ54" s="40"/>
      <c r="EK54" s="40"/>
      <c r="EL54" s="40"/>
      <c r="EM54" s="40"/>
      <c r="EN54" s="40"/>
      <c r="EO54" s="40"/>
      <c r="EP54" s="40"/>
      <c r="EQ54" s="40"/>
      <c r="ER54" s="40"/>
      <c r="ES54" s="40"/>
      <c r="ET54" s="40"/>
      <c r="EU54" s="40"/>
      <c r="EV54" s="40"/>
      <c r="EW54" s="40"/>
      <c r="EX54" s="40"/>
      <c r="EY54" s="40"/>
      <c r="EZ54" s="40"/>
      <c r="FA54" s="40"/>
      <c r="FB54" s="40"/>
      <c r="FC54" s="40"/>
      <c r="FD54" s="40"/>
      <c r="FE54" s="40"/>
      <c r="FF54" s="40"/>
      <c r="FG54" s="40"/>
      <c r="FH54" s="40"/>
      <c r="FI54" s="40"/>
      <c r="FJ54" s="40"/>
      <c r="FK54" s="40"/>
      <c r="FL54" s="40"/>
      <c r="FM54" s="40"/>
      <c r="FN54" s="40"/>
      <c r="FO54" s="40"/>
      <c r="FP54" s="40"/>
      <c r="FQ54" s="40"/>
      <c r="FR54" s="40"/>
      <c r="FS54" s="40"/>
      <c r="FT54" s="40"/>
      <c r="FU54" s="40"/>
      <c r="FV54" s="40"/>
      <c r="FW54" s="40"/>
      <c r="FX54" s="40"/>
      <c r="FY54" s="40"/>
      <c r="FZ54" s="40"/>
      <c r="GA54" s="40"/>
      <c r="GB54" s="40"/>
      <c r="GC54" s="40"/>
      <c r="GD54" s="40"/>
      <c r="GE54" s="40"/>
      <c r="GF54" s="40"/>
    </row>
    <row r="55" spans="1:188" ht="15.75" customHeight="1" x14ac:dyDescent="0.4">
      <c r="A55" s="49" t="s">
        <v>542</v>
      </c>
      <c r="B55" s="50" t="s">
        <v>58</v>
      </c>
      <c r="C55" s="7">
        <v>54</v>
      </c>
      <c r="D55" s="7" t="s">
        <v>543</v>
      </c>
      <c r="E55" s="7" t="s">
        <v>544</v>
      </c>
      <c r="F55" s="8" t="s">
        <v>545</v>
      </c>
      <c r="G55" s="8" t="s">
        <v>546</v>
      </c>
      <c r="H55" s="7" t="s">
        <v>547</v>
      </c>
      <c r="I55" s="7" t="s">
        <v>104</v>
      </c>
      <c r="J55" s="31" t="s">
        <v>548</v>
      </c>
      <c r="K55" s="8" t="s">
        <v>549</v>
      </c>
      <c r="L55" s="7" t="s">
        <v>489</v>
      </c>
      <c r="M55" s="7" t="s">
        <v>391</v>
      </c>
      <c r="N55" s="7" t="s">
        <v>550</v>
      </c>
      <c r="O55" s="11">
        <v>4500491.4800000004</v>
      </c>
      <c r="P55" s="7" t="s">
        <v>551</v>
      </c>
      <c r="Q55" s="8" t="s">
        <v>550</v>
      </c>
      <c r="R55" s="7" t="s">
        <v>551</v>
      </c>
      <c r="S55" s="7" t="s">
        <v>138</v>
      </c>
      <c r="T55" s="7" t="s">
        <v>552</v>
      </c>
      <c r="U55" s="7" t="s">
        <v>74</v>
      </c>
      <c r="V55" s="7" t="s">
        <v>552</v>
      </c>
      <c r="W55" s="7" t="s">
        <v>74</v>
      </c>
      <c r="X55" s="7" t="s">
        <v>70</v>
      </c>
      <c r="Y55" s="11">
        <v>4500491.4800000004</v>
      </c>
      <c r="Z55" s="11">
        <f t="shared" ref="Z55:Z56" si="4">Y55/12</f>
        <v>375040.95666666672</v>
      </c>
      <c r="AA55" s="45" t="s">
        <v>143</v>
      </c>
      <c r="AB55" s="17" t="s">
        <v>104</v>
      </c>
      <c r="AC55" s="17" t="s">
        <v>104</v>
      </c>
      <c r="AD55" s="7" t="s">
        <v>358</v>
      </c>
      <c r="AE55" s="7" t="s">
        <v>76</v>
      </c>
      <c r="AF55" s="7" t="s">
        <v>553</v>
      </c>
      <c r="AG55" s="14" t="s">
        <v>104</v>
      </c>
      <c r="AH55" s="14" t="s">
        <v>104</v>
      </c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40"/>
      <c r="BH55" s="40"/>
      <c r="BI55" s="40"/>
      <c r="BJ55" s="40"/>
      <c r="BK55" s="40"/>
      <c r="BL55" s="40"/>
      <c r="BM55" s="40"/>
      <c r="BN55" s="40"/>
      <c r="BO55" s="40"/>
      <c r="BP55" s="40"/>
      <c r="BQ55" s="40"/>
      <c r="BR55" s="40"/>
      <c r="BS55" s="40"/>
      <c r="BT55" s="40"/>
      <c r="BU55" s="40"/>
      <c r="BV55" s="40"/>
      <c r="BW55" s="40"/>
      <c r="BX55" s="40"/>
      <c r="BY55" s="40"/>
      <c r="BZ55" s="40"/>
      <c r="CA55" s="40"/>
      <c r="CB55" s="40"/>
      <c r="CC55" s="40"/>
      <c r="CD55" s="40"/>
      <c r="CE55" s="40"/>
      <c r="CF55" s="40"/>
      <c r="CG55" s="40"/>
      <c r="CH55" s="40"/>
      <c r="CI55" s="40"/>
      <c r="CJ55" s="40"/>
      <c r="CK55" s="40"/>
      <c r="CL55" s="40"/>
      <c r="CM55" s="40"/>
      <c r="CN55" s="40"/>
      <c r="CO55" s="40"/>
      <c r="CP55" s="40"/>
      <c r="CQ55" s="40"/>
      <c r="CR55" s="40"/>
      <c r="CS55" s="40"/>
      <c r="CT55" s="40"/>
      <c r="CU55" s="40"/>
      <c r="CV55" s="40"/>
      <c r="CW55" s="40"/>
      <c r="CX55" s="40"/>
      <c r="CY55" s="40"/>
      <c r="CZ55" s="40"/>
      <c r="DA55" s="40"/>
      <c r="DB55" s="40"/>
      <c r="DC55" s="40"/>
      <c r="DD55" s="40"/>
      <c r="DE55" s="40"/>
      <c r="DF55" s="40"/>
      <c r="DG55" s="40"/>
      <c r="DH55" s="40"/>
      <c r="DI55" s="40"/>
      <c r="DJ55" s="40"/>
      <c r="DK55" s="40"/>
      <c r="DL55" s="40"/>
      <c r="DM55" s="40"/>
      <c r="DN55" s="40"/>
      <c r="DO55" s="40"/>
      <c r="DP55" s="40"/>
      <c r="DQ55" s="40"/>
      <c r="DR55" s="40"/>
      <c r="DS55" s="40"/>
      <c r="DT55" s="40"/>
      <c r="DU55" s="40"/>
      <c r="DV55" s="40"/>
      <c r="DW55" s="40"/>
      <c r="DX55" s="40"/>
      <c r="DY55" s="40"/>
      <c r="DZ55" s="40"/>
      <c r="EA55" s="40"/>
      <c r="EB55" s="40"/>
      <c r="EC55" s="40"/>
      <c r="ED55" s="40"/>
      <c r="EE55" s="40"/>
      <c r="EF55" s="40"/>
      <c r="EG55" s="40"/>
      <c r="EH55" s="40"/>
      <c r="EI55" s="40"/>
      <c r="EJ55" s="40"/>
      <c r="EK55" s="40"/>
      <c r="EL55" s="40"/>
      <c r="EM55" s="40"/>
      <c r="EN55" s="40"/>
      <c r="EO55" s="40"/>
      <c r="EP55" s="40"/>
      <c r="EQ55" s="40"/>
      <c r="ER55" s="40"/>
      <c r="ES55" s="40"/>
      <c r="ET55" s="40"/>
      <c r="EU55" s="40"/>
      <c r="EV55" s="40"/>
      <c r="EW55" s="40"/>
      <c r="EX55" s="40"/>
      <c r="EY55" s="40"/>
      <c r="EZ55" s="40"/>
      <c r="FA55" s="40"/>
      <c r="FB55" s="40"/>
      <c r="FC55" s="40"/>
      <c r="FD55" s="40"/>
      <c r="FE55" s="40"/>
      <c r="FF55" s="40"/>
      <c r="FG55" s="40"/>
      <c r="FH55" s="40"/>
      <c r="FI55" s="40"/>
      <c r="FJ55" s="40"/>
      <c r="FK55" s="40"/>
      <c r="FL55" s="40"/>
      <c r="FM55" s="40"/>
      <c r="FN55" s="40"/>
      <c r="FO55" s="40"/>
      <c r="FP55" s="40"/>
      <c r="FQ55" s="40"/>
      <c r="FR55" s="40"/>
      <c r="FS55" s="40"/>
      <c r="FT55" s="40"/>
      <c r="FU55" s="40"/>
      <c r="FV55" s="40"/>
      <c r="FW55" s="40"/>
      <c r="FX55" s="40"/>
      <c r="FY55" s="40"/>
      <c r="FZ55" s="40"/>
      <c r="GA55" s="40"/>
      <c r="GB55" s="40"/>
      <c r="GC55" s="40"/>
      <c r="GD55" s="40"/>
      <c r="GE55" s="40"/>
      <c r="GF55" s="40"/>
    </row>
    <row r="56" spans="1:188" ht="15.75" customHeight="1" x14ac:dyDescent="0.4">
      <c r="A56" s="5" t="s">
        <v>554</v>
      </c>
      <c r="B56" s="29" t="s">
        <v>58</v>
      </c>
      <c r="C56" s="7">
        <v>55</v>
      </c>
      <c r="D56" s="7" t="s">
        <v>555</v>
      </c>
      <c r="E56" s="7" t="s">
        <v>556</v>
      </c>
      <c r="F56" s="5" t="s">
        <v>554</v>
      </c>
      <c r="G56" s="8" t="s">
        <v>557</v>
      </c>
      <c r="H56" s="7" t="s">
        <v>558</v>
      </c>
      <c r="I56" s="7" t="s">
        <v>104</v>
      </c>
      <c r="J56" s="31" t="s">
        <v>559</v>
      </c>
      <c r="K56" s="5" t="s">
        <v>560</v>
      </c>
      <c r="L56" s="7" t="s">
        <v>67</v>
      </c>
      <c r="M56" s="7" t="s">
        <v>561</v>
      </c>
      <c r="N56" s="7" t="s">
        <v>69</v>
      </c>
      <c r="O56" s="7" t="s">
        <v>1079</v>
      </c>
      <c r="P56" s="7" t="s">
        <v>1079</v>
      </c>
      <c r="Q56" s="8" t="s">
        <v>1079</v>
      </c>
      <c r="R56" s="7" t="s">
        <v>71</v>
      </c>
      <c r="S56" s="7" t="s">
        <v>562</v>
      </c>
      <c r="T56" s="7" t="s">
        <v>563</v>
      </c>
      <c r="U56" s="7" t="s">
        <v>74</v>
      </c>
      <c r="V56" s="7" t="s">
        <v>70</v>
      </c>
      <c r="W56" s="7" t="s">
        <v>70</v>
      </c>
      <c r="X56" s="7" t="s">
        <v>70</v>
      </c>
      <c r="Y56" s="11">
        <v>144000</v>
      </c>
      <c r="Z56" s="11">
        <f t="shared" si="4"/>
        <v>12000</v>
      </c>
      <c r="AA56" s="45" t="s">
        <v>143</v>
      </c>
      <c r="AB56" s="17" t="s">
        <v>104</v>
      </c>
      <c r="AC56" s="17" t="s">
        <v>104</v>
      </c>
      <c r="AD56" s="7" t="s">
        <v>358</v>
      </c>
      <c r="AE56" s="7" t="s">
        <v>76</v>
      </c>
      <c r="AF56" s="7" t="s">
        <v>173</v>
      </c>
      <c r="AG56" s="14" t="s">
        <v>104</v>
      </c>
      <c r="AH56" s="14" t="s">
        <v>104</v>
      </c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40"/>
      <c r="BH56" s="40"/>
      <c r="BI56" s="40"/>
      <c r="BJ56" s="40"/>
      <c r="BK56" s="40"/>
      <c r="BL56" s="40"/>
      <c r="BM56" s="40"/>
      <c r="BN56" s="40"/>
      <c r="BO56" s="40"/>
      <c r="BP56" s="40"/>
      <c r="BQ56" s="40"/>
      <c r="BR56" s="40"/>
      <c r="BS56" s="40"/>
      <c r="BT56" s="40"/>
      <c r="BU56" s="40"/>
      <c r="BV56" s="40"/>
      <c r="BW56" s="40"/>
      <c r="BX56" s="40"/>
      <c r="BY56" s="40"/>
      <c r="BZ56" s="40"/>
      <c r="CA56" s="40"/>
      <c r="CB56" s="40"/>
      <c r="CC56" s="40"/>
      <c r="CD56" s="40"/>
      <c r="CE56" s="40"/>
      <c r="CF56" s="40"/>
      <c r="CG56" s="40"/>
      <c r="CH56" s="40"/>
      <c r="CI56" s="40"/>
      <c r="CJ56" s="40"/>
      <c r="CK56" s="40"/>
      <c r="CL56" s="40"/>
      <c r="CM56" s="40"/>
      <c r="CN56" s="40"/>
      <c r="CO56" s="40"/>
      <c r="CP56" s="40"/>
      <c r="CQ56" s="40"/>
      <c r="CR56" s="40"/>
      <c r="CS56" s="40"/>
      <c r="CT56" s="40"/>
      <c r="CU56" s="40"/>
      <c r="CV56" s="40"/>
      <c r="CW56" s="40"/>
      <c r="CX56" s="40"/>
      <c r="CY56" s="40"/>
      <c r="CZ56" s="40"/>
      <c r="DA56" s="40"/>
      <c r="DB56" s="40"/>
      <c r="DC56" s="40"/>
      <c r="DD56" s="40"/>
      <c r="DE56" s="40"/>
      <c r="DF56" s="40"/>
      <c r="DG56" s="40"/>
      <c r="DH56" s="40"/>
      <c r="DI56" s="40"/>
      <c r="DJ56" s="40"/>
      <c r="DK56" s="40"/>
      <c r="DL56" s="40"/>
      <c r="DM56" s="40"/>
      <c r="DN56" s="40"/>
      <c r="DO56" s="40"/>
      <c r="DP56" s="40"/>
      <c r="DQ56" s="40"/>
      <c r="DR56" s="40"/>
      <c r="DS56" s="40"/>
      <c r="DT56" s="40"/>
      <c r="DU56" s="40"/>
      <c r="DV56" s="40"/>
      <c r="DW56" s="40"/>
      <c r="DX56" s="40"/>
      <c r="DY56" s="40"/>
      <c r="DZ56" s="40"/>
      <c r="EA56" s="40"/>
      <c r="EB56" s="40"/>
      <c r="EC56" s="40"/>
      <c r="ED56" s="40"/>
      <c r="EE56" s="40"/>
      <c r="EF56" s="40"/>
      <c r="EG56" s="40"/>
      <c r="EH56" s="40"/>
      <c r="EI56" s="40"/>
      <c r="EJ56" s="40"/>
      <c r="EK56" s="40"/>
      <c r="EL56" s="40"/>
      <c r="EM56" s="40"/>
      <c r="EN56" s="40"/>
      <c r="EO56" s="40"/>
      <c r="EP56" s="40"/>
      <c r="EQ56" s="40"/>
      <c r="ER56" s="40"/>
      <c r="ES56" s="40"/>
      <c r="ET56" s="40"/>
      <c r="EU56" s="40"/>
      <c r="EV56" s="40"/>
      <c r="EW56" s="40"/>
      <c r="EX56" s="40"/>
      <c r="EY56" s="40"/>
      <c r="EZ56" s="40"/>
      <c r="FA56" s="40"/>
      <c r="FB56" s="40"/>
      <c r="FC56" s="40"/>
      <c r="FD56" s="40"/>
      <c r="FE56" s="40"/>
      <c r="FF56" s="40"/>
      <c r="FG56" s="40"/>
      <c r="FH56" s="40"/>
      <c r="FI56" s="40"/>
      <c r="FJ56" s="40"/>
      <c r="FK56" s="40"/>
      <c r="FL56" s="40"/>
      <c r="FM56" s="40"/>
      <c r="FN56" s="40"/>
      <c r="FO56" s="40"/>
      <c r="FP56" s="40"/>
      <c r="FQ56" s="40"/>
      <c r="FR56" s="40"/>
      <c r="FS56" s="40"/>
      <c r="FT56" s="40"/>
      <c r="FU56" s="40"/>
      <c r="FV56" s="40"/>
      <c r="FW56" s="40"/>
      <c r="FX56" s="40"/>
      <c r="FY56" s="40"/>
      <c r="FZ56" s="40"/>
      <c r="GA56" s="40"/>
      <c r="GB56" s="40"/>
      <c r="GC56" s="40"/>
      <c r="GD56" s="40"/>
      <c r="GE56" s="40"/>
      <c r="GF56" s="40"/>
    </row>
    <row r="57" spans="1:188" ht="15.75" customHeight="1" x14ac:dyDescent="0.4">
      <c r="A57" s="51" t="s">
        <v>327</v>
      </c>
      <c r="B57" s="29" t="s">
        <v>58</v>
      </c>
      <c r="C57" s="7">
        <v>56</v>
      </c>
      <c r="D57" s="7" t="s">
        <v>564</v>
      </c>
      <c r="E57" s="7" t="s">
        <v>565</v>
      </c>
      <c r="F57" s="8" t="s">
        <v>327</v>
      </c>
      <c r="G57" s="34" t="s">
        <v>330</v>
      </c>
      <c r="H57" s="7" t="s">
        <v>331</v>
      </c>
      <c r="I57" s="7" t="s">
        <v>104</v>
      </c>
      <c r="J57" s="47" t="s">
        <v>566</v>
      </c>
      <c r="K57" s="8" t="s">
        <v>333</v>
      </c>
      <c r="L57" s="7" t="s">
        <v>489</v>
      </c>
      <c r="M57" s="7" t="s">
        <v>248</v>
      </c>
      <c r="N57" s="7" t="s">
        <v>567</v>
      </c>
      <c r="O57" s="7" t="s">
        <v>568</v>
      </c>
      <c r="P57" s="7" t="s">
        <v>71</v>
      </c>
      <c r="Q57" s="8" t="s">
        <v>569</v>
      </c>
      <c r="R57" s="7" t="s">
        <v>71</v>
      </c>
      <c r="S57" s="7" t="s">
        <v>562</v>
      </c>
      <c r="T57" s="14" t="s">
        <v>570</v>
      </c>
      <c r="U57" s="7" t="s">
        <v>74</v>
      </c>
      <c r="V57" s="7" t="s">
        <v>571</v>
      </c>
      <c r="W57" s="7" t="s">
        <v>74</v>
      </c>
      <c r="X57" s="7" t="s">
        <v>70</v>
      </c>
      <c r="Y57" s="11" t="s">
        <v>568</v>
      </c>
      <c r="Z57" s="11" t="s">
        <v>572</v>
      </c>
      <c r="AA57" s="36" t="s">
        <v>143</v>
      </c>
      <c r="AB57" s="36" t="s">
        <v>104</v>
      </c>
      <c r="AC57" s="36" t="s">
        <v>104</v>
      </c>
      <c r="AD57" s="7" t="s">
        <v>358</v>
      </c>
      <c r="AE57" s="7" t="s">
        <v>76</v>
      </c>
      <c r="AF57" s="7" t="s">
        <v>173</v>
      </c>
      <c r="AG57" s="14" t="s">
        <v>104</v>
      </c>
      <c r="AH57" s="14" t="s">
        <v>104</v>
      </c>
      <c r="AI57" s="37"/>
      <c r="AJ57" s="37"/>
      <c r="AK57" s="37"/>
      <c r="AL57" s="37"/>
      <c r="AM57" s="37"/>
      <c r="AN57" s="37"/>
      <c r="AO57" s="37"/>
      <c r="AP57" s="37"/>
      <c r="AQ57" s="37"/>
      <c r="AR57" s="37"/>
      <c r="AS57" s="37"/>
      <c r="AT57" s="37"/>
      <c r="AU57" s="37"/>
      <c r="AV57" s="37"/>
      <c r="AW57" s="37"/>
      <c r="AX57" s="37"/>
      <c r="AY57" s="37"/>
      <c r="AZ57" s="37"/>
      <c r="BA57" s="37"/>
      <c r="BB57" s="37"/>
      <c r="BC57" s="37"/>
      <c r="BD57" s="37"/>
      <c r="BE57" s="37"/>
      <c r="BF57" s="37"/>
      <c r="BG57" s="40"/>
      <c r="BH57" s="40"/>
      <c r="BI57" s="40"/>
      <c r="BJ57" s="40"/>
      <c r="BK57" s="40"/>
      <c r="BL57" s="40"/>
      <c r="BM57" s="40"/>
      <c r="BN57" s="40"/>
      <c r="BO57" s="40"/>
      <c r="BP57" s="40"/>
      <c r="BQ57" s="40"/>
      <c r="BR57" s="40"/>
      <c r="BS57" s="40"/>
      <c r="BT57" s="40"/>
      <c r="BU57" s="40"/>
      <c r="BV57" s="40"/>
      <c r="BW57" s="40"/>
      <c r="BX57" s="40"/>
      <c r="BY57" s="40"/>
      <c r="BZ57" s="40"/>
      <c r="CA57" s="40"/>
      <c r="CB57" s="40"/>
      <c r="CC57" s="40"/>
      <c r="CD57" s="40"/>
      <c r="CE57" s="40"/>
      <c r="CF57" s="40"/>
      <c r="CG57" s="40"/>
      <c r="CH57" s="40"/>
      <c r="CI57" s="40"/>
      <c r="CJ57" s="40"/>
      <c r="CK57" s="40"/>
      <c r="CL57" s="40"/>
      <c r="CM57" s="40"/>
      <c r="CN57" s="40"/>
      <c r="CO57" s="40"/>
      <c r="CP57" s="40"/>
      <c r="CQ57" s="40"/>
      <c r="CR57" s="40"/>
      <c r="CS57" s="40"/>
      <c r="CT57" s="40"/>
      <c r="CU57" s="40"/>
      <c r="CV57" s="40"/>
      <c r="CW57" s="40"/>
      <c r="CX57" s="40"/>
      <c r="CY57" s="40"/>
      <c r="CZ57" s="40"/>
      <c r="DA57" s="40"/>
      <c r="DB57" s="40"/>
      <c r="DC57" s="40"/>
      <c r="DD57" s="40"/>
      <c r="DE57" s="40"/>
      <c r="DF57" s="40"/>
      <c r="DG57" s="40"/>
      <c r="DH57" s="40"/>
      <c r="DI57" s="40"/>
      <c r="DJ57" s="40"/>
      <c r="DK57" s="40"/>
      <c r="DL57" s="40"/>
      <c r="DM57" s="40"/>
      <c r="DN57" s="40"/>
      <c r="DO57" s="40"/>
      <c r="DP57" s="40"/>
      <c r="DQ57" s="40"/>
      <c r="DR57" s="40"/>
      <c r="DS57" s="40"/>
      <c r="DT57" s="40"/>
      <c r="DU57" s="40"/>
      <c r="DV57" s="40"/>
      <c r="DW57" s="40"/>
      <c r="DX57" s="40"/>
      <c r="DY57" s="40"/>
      <c r="DZ57" s="40"/>
      <c r="EA57" s="40"/>
      <c r="EB57" s="40"/>
      <c r="EC57" s="40"/>
      <c r="ED57" s="40"/>
      <c r="EE57" s="40"/>
      <c r="EF57" s="40"/>
      <c r="EG57" s="40"/>
      <c r="EH57" s="40"/>
      <c r="EI57" s="40"/>
      <c r="EJ57" s="40"/>
      <c r="EK57" s="40"/>
      <c r="EL57" s="40"/>
      <c r="EM57" s="40"/>
      <c r="EN57" s="40"/>
      <c r="EO57" s="40"/>
      <c r="EP57" s="40"/>
      <c r="EQ57" s="40"/>
      <c r="ER57" s="40"/>
      <c r="ES57" s="40"/>
      <c r="ET57" s="40"/>
      <c r="EU57" s="40"/>
      <c r="EV57" s="40"/>
      <c r="EW57" s="40"/>
      <c r="EX57" s="40"/>
      <c r="EY57" s="40"/>
      <c r="EZ57" s="40"/>
      <c r="FA57" s="40"/>
      <c r="FB57" s="40"/>
      <c r="FC57" s="40"/>
      <c r="FD57" s="40"/>
      <c r="FE57" s="40"/>
      <c r="FF57" s="40"/>
      <c r="FG57" s="40"/>
      <c r="FH57" s="40"/>
      <c r="FI57" s="40"/>
      <c r="FJ57" s="40"/>
      <c r="FK57" s="40"/>
      <c r="FL57" s="40"/>
      <c r="FM57" s="40"/>
      <c r="FN57" s="40"/>
      <c r="FO57" s="40"/>
      <c r="FP57" s="40"/>
      <c r="FQ57" s="40"/>
      <c r="FR57" s="40"/>
      <c r="FS57" s="40"/>
      <c r="FT57" s="40"/>
      <c r="FU57" s="40"/>
      <c r="FV57" s="40"/>
      <c r="FW57" s="40"/>
      <c r="FX57" s="40"/>
      <c r="FY57" s="40"/>
      <c r="FZ57" s="40"/>
      <c r="GA57" s="40"/>
      <c r="GB57" s="40"/>
      <c r="GC57" s="40"/>
      <c r="GD57" s="40"/>
      <c r="GE57" s="40"/>
      <c r="GF57" s="40"/>
    </row>
    <row r="58" spans="1:188" ht="15.75" customHeight="1" x14ac:dyDescent="0.4">
      <c r="A58" s="5" t="s">
        <v>573</v>
      </c>
      <c r="B58" s="29" t="s">
        <v>58</v>
      </c>
      <c r="C58" s="7">
        <v>57</v>
      </c>
      <c r="D58" s="7" t="s">
        <v>574</v>
      </c>
      <c r="E58" s="7" t="s">
        <v>575</v>
      </c>
      <c r="F58" s="5" t="s">
        <v>573</v>
      </c>
      <c r="G58" s="8" t="s">
        <v>398</v>
      </c>
      <c r="H58" s="7" t="s">
        <v>576</v>
      </c>
      <c r="I58" s="7" t="s">
        <v>104</v>
      </c>
      <c r="J58" s="31" t="s">
        <v>577</v>
      </c>
      <c r="K58" s="8" t="s">
        <v>578</v>
      </c>
      <c r="L58" s="7" t="s">
        <v>67</v>
      </c>
      <c r="M58" s="7" t="s">
        <v>579</v>
      </c>
      <c r="N58" s="7" t="s">
        <v>69</v>
      </c>
      <c r="O58" s="11" t="s">
        <v>1079</v>
      </c>
      <c r="P58" s="7" t="s">
        <v>1079</v>
      </c>
      <c r="Q58" s="8" t="s">
        <v>1079</v>
      </c>
      <c r="R58" s="7" t="s">
        <v>137</v>
      </c>
      <c r="S58" s="7" t="s">
        <v>412</v>
      </c>
      <c r="T58" s="10" t="s">
        <v>580</v>
      </c>
      <c r="U58" s="7" t="s">
        <v>74</v>
      </c>
      <c r="V58" s="7" t="s">
        <v>70</v>
      </c>
      <c r="W58" s="7" t="s">
        <v>70</v>
      </c>
      <c r="X58" s="7" t="s">
        <v>70</v>
      </c>
      <c r="Y58" s="11">
        <v>218332.79999999999</v>
      </c>
      <c r="Z58" s="11">
        <f t="shared" ref="Z58:Z59" si="5">Y58/12</f>
        <v>18194.399999999998</v>
      </c>
      <c r="AA58" s="45" t="s">
        <v>143</v>
      </c>
      <c r="AB58" s="17" t="s">
        <v>104</v>
      </c>
      <c r="AC58" s="17" t="s">
        <v>104</v>
      </c>
      <c r="AD58" s="7" t="s">
        <v>358</v>
      </c>
      <c r="AE58" s="7" t="s">
        <v>76</v>
      </c>
      <c r="AF58" s="7" t="s">
        <v>260</v>
      </c>
      <c r="AG58" s="14" t="s">
        <v>104</v>
      </c>
      <c r="AH58" s="14" t="s">
        <v>104</v>
      </c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40"/>
      <c r="BH58" s="40"/>
      <c r="BI58" s="40"/>
      <c r="BJ58" s="40"/>
      <c r="BK58" s="40"/>
      <c r="BL58" s="40"/>
      <c r="BM58" s="40"/>
      <c r="BN58" s="40"/>
      <c r="BO58" s="40"/>
      <c r="BP58" s="40"/>
      <c r="BQ58" s="40"/>
      <c r="BR58" s="40"/>
      <c r="BS58" s="40"/>
      <c r="BT58" s="40"/>
      <c r="BU58" s="40"/>
      <c r="BV58" s="40"/>
      <c r="BW58" s="40"/>
      <c r="BX58" s="40"/>
      <c r="BY58" s="40"/>
      <c r="BZ58" s="40"/>
      <c r="CA58" s="40"/>
      <c r="CB58" s="40"/>
      <c r="CC58" s="40"/>
      <c r="CD58" s="40"/>
      <c r="CE58" s="40"/>
      <c r="CF58" s="40"/>
      <c r="CG58" s="40"/>
      <c r="CH58" s="40"/>
      <c r="CI58" s="40"/>
      <c r="CJ58" s="40"/>
      <c r="CK58" s="40"/>
      <c r="CL58" s="40"/>
      <c r="CM58" s="40"/>
      <c r="CN58" s="40"/>
      <c r="CO58" s="40"/>
      <c r="CP58" s="40"/>
      <c r="CQ58" s="40"/>
      <c r="CR58" s="40"/>
      <c r="CS58" s="40"/>
      <c r="CT58" s="40"/>
      <c r="CU58" s="40"/>
      <c r="CV58" s="40"/>
      <c r="CW58" s="40"/>
      <c r="CX58" s="40"/>
      <c r="CY58" s="40"/>
      <c r="CZ58" s="40"/>
      <c r="DA58" s="40"/>
      <c r="DB58" s="40"/>
      <c r="DC58" s="40"/>
      <c r="DD58" s="40"/>
      <c r="DE58" s="40"/>
      <c r="DF58" s="40"/>
      <c r="DG58" s="40"/>
      <c r="DH58" s="40"/>
      <c r="DI58" s="40"/>
      <c r="DJ58" s="40"/>
      <c r="DK58" s="40"/>
      <c r="DL58" s="40"/>
      <c r="DM58" s="40"/>
      <c r="DN58" s="40"/>
      <c r="DO58" s="40"/>
      <c r="DP58" s="40"/>
      <c r="DQ58" s="40"/>
      <c r="DR58" s="40"/>
      <c r="DS58" s="40"/>
      <c r="DT58" s="40"/>
      <c r="DU58" s="40"/>
      <c r="DV58" s="40"/>
      <c r="DW58" s="40"/>
      <c r="DX58" s="40"/>
      <c r="DY58" s="40"/>
      <c r="DZ58" s="40"/>
      <c r="EA58" s="40"/>
      <c r="EB58" s="40"/>
      <c r="EC58" s="40"/>
      <c r="ED58" s="40"/>
      <c r="EE58" s="40"/>
      <c r="EF58" s="40"/>
      <c r="EG58" s="40"/>
      <c r="EH58" s="40"/>
      <c r="EI58" s="40"/>
      <c r="EJ58" s="40"/>
      <c r="EK58" s="40"/>
      <c r="EL58" s="40"/>
      <c r="EM58" s="40"/>
      <c r="EN58" s="40"/>
      <c r="EO58" s="40"/>
      <c r="EP58" s="40"/>
      <c r="EQ58" s="40"/>
      <c r="ER58" s="40"/>
      <c r="ES58" s="40"/>
      <c r="ET58" s="40"/>
      <c r="EU58" s="40"/>
      <c r="EV58" s="40"/>
      <c r="EW58" s="40"/>
      <c r="EX58" s="40"/>
      <c r="EY58" s="40"/>
      <c r="EZ58" s="40"/>
      <c r="FA58" s="40"/>
      <c r="FB58" s="40"/>
      <c r="FC58" s="40"/>
      <c r="FD58" s="40"/>
      <c r="FE58" s="40"/>
      <c r="FF58" s="40"/>
      <c r="FG58" s="40"/>
      <c r="FH58" s="40"/>
      <c r="FI58" s="40"/>
      <c r="FJ58" s="40"/>
      <c r="FK58" s="40"/>
      <c r="FL58" s="40"/>
      <c r="FM58" s="40"/>
      <c r="FN58" s="40"/>
      <c r="FO58" s="40"/>
      <c r="FP58" s="40"/>
      <c r="FQ58" s="40"/>
      <c r="FR58" s="40"/>
      <c r="FS58" s="40"/>
      <c r="FT58" s="40"/>
      <c r="FU58" s="40"/>
      <c r="FV58" s="40"/>
      <c r="FW58" s="40"/>
      <c r="FX58" s="40"/>
      <c r="FY58" s="40"/>
      <c r="FZ58" s="40"/>
      <c r="GA58" s="40"/>
      <c r="GB58" s="40"/>
      <c r="GC58" s="40"/>
      <c r="GD58" s="40"/>
      <c r="GE58" s="40"/>
      <c r="GF58" s="40"/>
    </row>
    <row r="59" spans="1:188" ht="15.75" customHeight="1" x14ac:dyDescent="0.35">
      <c r="A59" s="5" t="s">
        <v>581</v>
      </c>
      <c r="B59" s="29" t="s">
        <v>58</v>
      </c>
      <c r="C59" s="7">
        <v>58</v>
      </c>
      <c r="D59" s="7" t="s">
        <v>582</v>
      </c>
      <c r="E59" s="7" t="s">
        <v>583</v>
      </c>
      <c r="F59" s="5" t="s">
        <v>581</v>
      </c>
      <c r="G59" s="8" t="s">
        <v>398</v>
      </c>
      <c r="H59" s="7" t="s">
        <v>576</v>
      </c>
      <c r="I59" s="7" t="s">
        <v>104</v>
      </c>
      <c r="J59" s="31" t="s">
        <v>584</v>
      </c>
      <c r="K59" s="8" t="s">
        <v>585</v>
      </c>
      <c r="L59" s="7" t="s">
        <v>67</v>
      </c>
      <c r="M59" s="7" t="s">
        <v>586</v>
      </c>
      <c r="N59" s="7" t="s">
        <v>69</v>
      </c>
      <c r="O59" s="11" t="s">
        <v>1079</v>
      </c>
      <c r="P59" s="7" t="s">
        <v>1079</v>
      </c>
      <c r="Q59" s="8" t="s">
        <v>1079</v>
      </c>
      <c r="R59" s="7" t="s">
        <v>71</v>
      </c>
      <c r="S59" s="7" t="s">
        <v>412</v>
      </c>
      <c r="T59" s="7" t="s">
        <v>587</v>
      </c>
      <c r="U59" s="7" t="s">
        <v>74</v>
      </c>
      <c r="V59" s="7" t="s">
        <v>70</v>
      </c>
      <c r="W59" s="7" t="s">
        <v>70</v>
      </c>
      <c r="X59" s="7" t="s">
        <v>70</v>
      </c>
      <c r="Y59" s="11">
        <v>58000</v>
      </c>
      <c r="Z59" s="11">
        <f t="shared" si="5"/>
        <v>4833.333333333333</v>
      </c>
      <c r="AA59" s="45" t="s">
        <v>143</v>
      </c>
      <c r="AB59" s="17" t="s">
        <v>104</v>
      </c>
      <c r="AC59" s="17" t="s">
        <v>104</v>
      </c>
      <c r="AD59" s="7" t="s">
        <v>358</v>
      </c>
      <c r="AE59" s="7" t="s">
        <v>76</v>
      </c>
      <c r="AF59" s="7" t="s">
        <v>173</v>
      </c>
      <c r="AG59" s="14" t="s">
        <v>104</v>
      </c>
      <c r="AH59" s="14" t="s">
        <v>104</v>
      </c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</row>
    <row r="60" spans="1:188" ht="15.75" customHeight="1" x14ac:dyDescent="0.35">
      <c r="A60" s="52" t="s">
        <v>588</v>
      </c>
      <c r="B60" s="29" t="s">
        <v>58</v>
      </c>
      <c r="C60" s="7">
        <v>59</v>
      </c>
      <c r="D60" s="7" t="s">
        <v>589</v>
      </c>
      <c r="E60" s="7" t="s">
        <v>590</v>
      </c>
      <c r="F60" s="8" t="s">
        <v>588</v>
      </c>
      <c r="G60" s="34" t="s">
        <v>591</v>
      </c>
      <c r="H60" s="7" t="s">
        <v>104</v>
      </c>
      <c r="I60" s="7" t="s">
        <v>104</v>
      </c>
      <c r="J60" s="47" t="s">
        <v>592</v>
      </c>
      <c r="K60" s="8" t="s">
        <v>593</v>
      </c>
      <c r="L60" s="7" t="s">
        <v>489</v>
      </c>
      <c r="M60" s="7" t="s">
        <v>480</v>
      </c>
      <c r="N60" s="7" t="s">
        <v>594</v>
      </c>
      <c r="O60" s="7" t="s">
        <v>595</v>
      </c>
      <c r="P60" s="7" t="s">
        <v>71</v>
      </c>
      <c r="Q60" s="8" t="s">
        <v>596</v>
      </c>
      <c r="R60" s="7" t="s">
        <v>71</v>
      </c>
      <c r="S60" s="7" t="s">
        <v>562</v>
      </c>
      <c r="T60" s="14" t="s">
        <v>597</v>
      </c>
      <c r="U60" s="7" t="s">
        <v>74</v>
      </c>
      <c r="V60" s="7" t="s">
        <v>597</v>
      </c>
      <c r="W60" s="7" t="s">
        <v>74</v>
      </c>
      <c r="X60" s="7" t="s">
        <v>70</v>
      </c>
      <c r="Y60" s="11" t="s">
        <v>598</v>
      </c>
      <c r="Z60" s="11" t="s">
        <v>599</v>
      </c>
      <c r="AA60" s="36" t="s">
        <v>143</v>
      </c>
      <c r="AB60" s="36" t="s">
        <v>104</v>
      </c>
      <c r="AC60" s="36" t="s">
        <v>104</v>
      </c>
      <c r="AD60" s="7" t="s">
        <v>358</v>
      </c>
      <c r="AE60" s="7" t="s">
        <v>76</v>
      </c>
      <c r="AF60" s="7" t="s">
        <v>173</v>
      </c>
      <c r="AG60" s="14" t="s">
        <v>104</v>
      </c>
      <c r="AH60" s="14" t="s">
        <v>104</v>
      </c>
      <c r="AI60" s="37"/>
      <c r="AJ60" s="37"/>
      <c r="AK60" s="37"/>
      <c r="AL60" s="37"/>
      <c r="AM60" s="37"/>
      <c r="AN60" s="37"/>
      <c r="AO60" s="37"/>
      <c r="AP60" s="37"/>
      <c r="AQ60" s="37"/>
      <c r="AR60" s="37"/>
      <c r="AS60" s="37"/>
      <c r="AT60" s="37"/>
      <c r="AU60" s="37"/>
      <c r="AV60" s="37"/>
      <c r="AW60" s="37"/>
      <c r="AX60" s="37"/>
      <c r="AY60" s="37"/>
      <c r="AZ60" s="37"/>
      <c r="BA60" s="37"/>
      <c r="BB60" s="37"/>
      <c r="BC60" s="37"/>
      <c r="BD60" s="37"/>
      <c r="BE60" s="37"/>
      <c r="BF60" s="37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</row>
    <row r="61" spans="1:188" ht="15.75" customHeight="1" x14ac:dyDescent="0.35">
      <c r="A61" s="52" t="s">
        <v>600</v>
      </c>
      <c r="B61" s="29" t="s">
        <v>58</v>
      </c>
      <c r="C61" s="7">
        <v>60</v>
      </c>
      <c r="D61" s="7" t="s">
        <v>601</v>
      </c>
      <c r="E61" s="7" t="s">
        <v>602</v>
      </c>
      <c r="F61" s="8" t="s">
        <v>603</v>
      </c>
      <c r="G61" s="34" t="s">
        <v>604</v>
      </c>
      <c r="H61" s="7" t="s">
        <v>104</v>
      </c>
      <c r="I61" s="7" t="s">
        <v>104</v>
      </c>
      <c r="J61" s="47" t="s">
        <v>592</v>
      </c>
      <c r="K61" s="8" t="s">
        <v>605</v>
      </c>
      <c r="L61" s="7" t="s">
        <v>489</v>
      </c>
      <c r="M61" s="7" t="s">
        <v>480</v>
      </c>
      <c r="N61" s="7" t="s">
        <v>594</v>
      </c>
      <c r="O61" s="7" t="s">
        <v>595</v>
      </c>
      <c r="P61" s="7" t="s">
        <v>71</v>
      </c>
      <c r="Q61" s="8" t="s">
        <v>606</v>
      </c>
      <c r="R61" s="7" t="s">
        <v>71</v>
      </c>
      <c r="S61" s="7" t="s">
        <v>562</v>
      </c>
      <c r="T61" s="14" t="s">
        <v>597</v>
      </c>
      <c r="U61" s="7" t="s">
        <v>74</v>
      </c>
      <c r="V61" s="7" t="s">
        <v>597</v>
      </c>
      <c r="W61" s="7" t="s">
        <v>74</v>
      </c>
      <c r="X61" s="7" t="s">
        <v>70</v>
      </c>
      <c r="Y61" s="11" t="s">
        <v>607</v>
      </c>
      <c r="Z61" s="11" t="s">
        <v>608</v>
      </c>
      <c r="AA61" s="36" t="s">
        <v>143</v>
      </c>
      <c r="AB61" s="36" t="s">
        <v>104</v>
      </c>
      <c r="AC61" s="36" t="s">
        <v>104</v>
      </c>
      <c r="AD61" s="7" t="s">
        <v>358</v>
      </c>
      <c r="AE61" s="7" t="s">
        <v>76</v>
      </c>
      <c r="AF61" s="7" t="s">
        <v>173</v>
      </c>
      <c r="AG61" s="14" t="s">
        <v>104</v>
      </c>
      <c r="AH61" s="14" t="s">
        <v>104</v>
      </c>
      <c r="AI61" s="37"/>
      <c r="AJ61" s="37"/>
      <c r="AK61" s="37"/>
      <c r="AL61" s="37"/>
      <c r="AM61" s="37"/>
      <c r="AN61" s="37"/>
      <c r="AO61" s="37"/>
      <c r="AP61" s="37"/>
      <c r="AQ61" s="37"/>
      <c r="AR61" s="37"/>
      <c r="AS61" s="37"/>
      <c r="AT61" s="37"/>
      <c r="AU61" s="37"/>
      <c r="AV61" s="37"/>
      <c r="AW61" s="37"/>
      <c r="AX61" s="37"/>
      <c r="AY61" s="37"/>
      <c r="AZ61" s="37"/>
      <c r="BA61" s="37"/>
      <c r="BB61" s="37"/>
      <c r="BC61" s="37"/>
      <c r="BD61" s="37"/>
      <c r="BE61" s="37"/>
      <c r="BF61" s="37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</row>
    <row r="62" spans="1:188" ht="15.75" customHeight="1" x14ac:dyDescent="0.35">
      <c r="A62" s="52" t="s">
        <v>609</v>
      </c>
      <c r="B62" s="29" t="s">
        <v>58</v>
      </c>
      <c r="C62" s="7">
        <v>61</v>
      </c>
      <c r="D62" s="7" t="s">
        <v>610</v>
      </c>
      <c r="E62" s="7" t="s">
        <v>611</v>
      </c>
      <c r="F62" s="8" t="s">
        <v>609</v>
      </c>
      <c r="G62" s="34" t="s">
        <v>612</v>
      </c>
      <c r="H62" s="7" t="s">
        <v>104</v>
      </c>
      <c r="I62" s="7" t="s">
        <v>104</v>
      </c>
      <c r="J62" s="47" t="s">
        <v>592</v>
      </c>
      <c r="K62" s="8" t="s">
        <v>613</v>
      </c>
      <c r="L62" s="7" t="s">
        <v>489</v>
      </c>
      <c r="M62" s="7" t="s">
        <v>480</v>
      </c>
      <c r="N62" s="7" t="s">
        <v>594</v>
      </c>
      <c r="O62" s="7" t="s">
        <v>595</v>
      </c>
      <c r="P62" s="7" t="s">
        <v>71</v>
      </c>
      <c r="Q62" s="8" t="s">
        <v>614</v>
      </c>
      <c r="R62" s="7" t="s">
        <v>71</v>
      </c>
      <c r="S62" s="7" t="s">
        <v>562</v>
      </c>
      <c r="T62" s="14" t="s">
        <v>597</v>
      </c>
      <c r="U62" s="7" t="s">
        <v>74</v>
      </c>
      <c r="V62" s="7" t="s">
        <v>597</v>
      </c>
      <c r="W62" s="7" t="s">
        <v>74</v>
      </c>
      <c r="X62" s="7" t="s">
        <v>70</v>
      </c>
      <c r="Y62" s="11" t="s">
        <v>615</v>
      </c>
      <c r="Z62" s="11" t="s">
        <v>616</v>
      </c>
      <c r="AA62" s="36" t="s">
        <v>143</v>
      </c>
      <c r="AB62" s="36" t="s">
        <v>104</v>
      </c>
      <c r="AC62" s="36" t="s">
        <v>104</v>
      </c>
      <c r="AD62" s="7" t="s">
        <v>358</v>
      </c>
      <c r="AE62" s="7" t="s">
        <v>76</v>
      </c>
      <c r="AF62" s="7" t="s">
        <v>173</v>
      </c>
      <c r="AG62" s="14" t="s">
        <v>104</v>
      </c>
      <c r="AH62" s="14" t="s">
        <v>104</v>
      </c>
      <c r="AI62" s="37"/>
      <c r="AJ62" s="37"/>
      <c r="AK62" s="37"/>
      <c r="AL62" s="37"/>
      <c r="AM62" s="37"/>
      <c r="AN62" s="37"/>
      <c r="AO62" s="37"/>
      <c r="AP62" s="37"/>
      <c r="AQ62" s="37"/>
      <c r="AR62" s="37"/>
      <c r="AS62" s="37"/>
      <c r="AT62" s="37"/>
      <c r="AU62" s="37"/>
      <c r="AV62" s="37"/>
      <c r="AW62" s="37"/>
      <c r="AX62" s="37"/>
      <c r="AY62" s="37"/>
      <c r="AZ62" s="37"/>
      <c r="BA62" s="37"/>
      <c r="BB62" s="37"/>
      <c r="BC62" s="37"/>
      <c r="BD62" s="37"/>
      <c r="BE62" s="37"/>
      <c r="BF62" s="37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</row>
    <row r="63" spans="1:188" ht="15.75" customHeight="1" x14ac:dyDescent="0.35">
      <c r="A63" s="52" t="s">
        <v>617</v>
      </c>
      <c r="B63" s="29" t="s">
        <v>58</v>
      </c>
      <c r="C63" s="7">
        <v>62</v>
      </c>
      <c r="D63" s="7" t="s">
        <v>618</v>
      </c>
      <c r="E63" s="7" t="s">
        <v>619</v>
      </c>
      <c r="F63" s="8" t="s">
        <v>617</v>
      </c>
      <c r="G63" s="34" t="s">
        <v>620</v>
      </c>
      <c r="H63" s="7" t="s">
        <v>104</v>
      </c>
      <c r="I63" s="7" t="s">
        <v>104</v>
      </c>
      <c r="J63" s="47" t="s">
        <v>592</v>
      </c>
      <c r="K63" s="8" t="s">
        <v>621</v>
      </c>
      <c r="L63" s="7" t="s">
        <v>489</v>
      </c>
      <c r="M63" s="7" t="s">
        <v>480</v>
      </c>
      <c r="N63" s="7" t="s">
        <v>594</v>
      </c>
      <c r="O63" s="7" t="s">
        <v>595</v>
      </c>
      <c r="P63" s="7" t="s">
        <v>71</v>
      </c>
      <c r="Q63" s="8" t="s">
        <v>622</v>
      </c>
      <c r="R63" s="7" t="s">
        <v>71</v>
      </c>
      <c r="S63" s="7" t="s">
        <v>562</v>
      </c>
      <c r="T63" s="14" t="s">
        <v>597</v>
      </c>
      <c r="U63" s="7" t="s">
        <v>74</v>
      </c>
      <c r="V63" s="7" t="s">
        <v>597</v>
      </c>
      <c r="W63" s="7" t="s">
        <v>74</v>
      </c>
      <c r="X63" s="7" t="s">
        <v>70</v>
      </c>
      <c r="Y63" s="11" t="s">
        <v>623</v>
      </c>
      <c r="Z63" s="11" t="s">
        <v>624</v>
      </c>
      <c r="AA63" s="36" t="s">
        <v>143</v>
      </c>
      <c r="AB63" s="36" t="s">
        <v>104</v>
      </c>
      <c r="AC63" s="36" t="s">
        <v>104</v>
      </c>
      <c r="AD63" s="7" t="s">
        <v>358</v>
      </c>
      <c r="AE63" s="7" t="s">
        <v>76</v>
      </c>
      <c r="AF63" s="7" t="s">
        <v>173</v>
      </c>
      <c r="AG63" s="14" t="s">
        <v>104</v>
      </c>
      <c r="AH63" s="14" t="s">
        <v>104</v>
      </c>
      <c r="AI63" s="37"/>
      <c r="AJ63" s="37"/>
      <c r="AK63" s="37"/>
      <c r="AL63" s="37"/>
      <c r="AM63" s="37"/>
      <c r="AN63" s="37"/>
      <c r="AO63" s="37"/>
      <c r="AP63" s="37"/>
      <c r="AQ63" s="37"/>
      <c r="AR63" s="37"/>
      <c r="AS63" s="37"/>
      <c r="AT63" s="37"/>
      <c r="AU63" s="37"/>
      <c r="AV63" s="37"/>
      <c r="AW63" s="37"/>
      <c r="AX63" s="37"/>
      <c r="AY63" s="37"/>
      <c r="AZ63" s="37"/>
      <c r="BA63" s="37"/>
      <c r="BB63" s="37"/>
      <c r="BC63" s="37"/>
      <c r="BD63" s="37"/>
      <c r="BE63" s="37"/>
      <c r="BF63" s="37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</row>
    <row r="64" spans="1:188" ht="15.75" customHeight="1" x14ac:dyDescent="0.35">
      <c r="A64" s="52" t="s">
        <v>625</v>
      </c>
      <c r="B64" s="29" t="s">
        <v>58</v>
      </c>
      <c r="C64" s="7">
        <v>63</v>
      </c>
      <c r="D64" s="7" t="s">
        <v>626</v>
      </c>
      <c r="E64" s="7" t="s">
        <v>627</v>
      </c>
      <c r="F64" s="8" t="s">
        <v>625</v>
      </c>
      <c r="G64" s="34" t="s">
        <v>628</v>
      </c>
      <c r="H64" s="7" t="s">
        <v>104</v>
      </c>
      <c r="I64" s="7" t="s">
        <v>104</v>
      </c>
      <c r="J64" s="47" t="s">
        <v>592</v>
      </c>
      <c r="K64" s="8" t="s">
        <v>629</v>
      </c>
      <c r="L64" s="7" t="s">
        <v>489</v>
      </c>
      <c r="M64" s="7" t="s">
        <v>480</v>
      </c>
      <c r="N64" s="7" t="s">
        <v>594</v>
      </c>
      <c r="O64" s="7" t="s">
        <v>595</v>
      </c>
      <c r="P64" s="7" t="s">
        <v>71</v>
      </c>
      <c r="Q64" s="8" t="s">
        <v>630</v>
      </c>
      <c r="R64" s="7" t="s">
        <v>71</v>
      </c>
      <c r="S64" s="7" t="s">
        <v>562</v>
      </c>
      <c r="T64" s="14" t="s">
        <v>597</v>
      </c>
      <c r="U64" s="7" t="s">
        <v>74</v>
      </c>
      <c r="V64" s="7" t="s">
        <v>597</v>
      </c>
      <c r="W64" s="7" t="s">
        <v>74</v>
      </c>
      <c r="X64" s="7" t="s">
        <v>70</v>
      </c>
      <c r="Y64" s="11" t="s">
        <v>631</v>
      </c>
      <c r="Z64" s="11" t="s">
        <v>632</v>
      </c>
      <c r="AA64" s="36" t="s">
        <v>143</v>
      </c>
      <c r="AB64" s="36" t="s">
        <v>104</v>
      </c>
      <c r="AC64" s="36" t="s">
        <v>104</v>
      </c>
      <c r="AD64" s="7" t="s">
        <v>358</v>
      </c>
      <c r="AE64" s="7" t="s">
        <v>76</v>
      </c>
      <c r="AF64" s="7" t="s">
        <v>173</v>
      </c>
      <c r="AG64" s="14" t="s">
        <v>104</v>
      </c>
      <c r="AH64" s="14" t="s">
        <v>104</v>
      </c>
      <c r="AI64" s="37"/>
      <c r="AJ64" s="37"/>
      <c r="AK64" s="37"/>
      <c r="AL64" s="37"/>
      <c r="AM64" s="37"/>
      <c r="AN64" s="37"/>
      <c r="AO64" s="37"/>
      <c r="AP64" s="37"/>
      <c r="AQ64" s="37"/>
      <c r="AR64" s="37"/>
      <c r="AS64" s="37"/>
      <c r="AT64" s="37"/>
      <c r="AU64" s="37"/>
      <c r="AV64" s="37"/>
      <c r="AW64" s="37"/>
      <c r="AX64" s="37"/>
      <c r="AY64" s="37"/>
      <c r="AZ64" s="37"/>
      <c r="BA64" s="37"/>
      <c r="BB64" s="37"/>
      <c r="BC64" s="37"/>
      <c r="BD64" s="37"/>
      <c r="BE64" s="37"/>
      <c r="BF64" s="37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</row>
    <row r="65" spans="1:188" ht="15.75" customHeight="1" x14ac:dyDescent="0.35">
      <c r="A65" s="52" t="s">
        <v>174</v>
      </c>
      <c r="B65" s="29" t="s">
        <v>58</v>
      </c>
      <c r="C65" s="7">
        <v>64</v>
      </c>
      <c r="D65" s="7" t="s">
        <v>633</v>
      </c>
      <c r="E65" s="7" t="s">
        <v>634</v>
      </c>
      <c r="F65" s="8" t="s">
        <v>174</v>
      </c>
      <c r="G65" s="34" t="s">
        <v>635</v>
      </c>
      <c r="H65" s="7" t="s">
        <v>104</v>
      </c>
      <c r="I65" s="7" t="s">
        <v>104</v>
      </c>
      <c r="J65" s="47" t="s">
        <v>592</v>
      </c>
      <c r="K65" s="8" t="s">
        <v>178</v>
      </c>
      <c r="L65" s="7" t="s">
        <v>489</v>
      </c>
      <c r="M65" s="7" t="s">
        <v>480</v>
      </c>
      <c r="N65" s="7" t="s">
        <v>594</v>
      </c>
      <c r="O65" s="7" t="s">
        <v>595</v>
      </c>
      <c r="P65" s="7" t="s">
        <v>71</v>
      </c>
      <c r="Q65" s="8" t="s">
        <v>636</v>
      </c>
      <c r="R65" s="7" t="s">
        <v>71</v>
      </c>
      <c r="S65" s="7" t="s">
        <v>562</v>
      </c>
      <c r="T65" s="14" t="s">
        <v>597</v>
      </c>
      <c r="U65" s="7" t="s">
        <v>74</v>
      </c>
      <c r="V65" s="7" t="s">
        <v>597</v>
      </c>
      <c r="W65" s="7" t="s">
        <v>74</v>
      </c>
      <c r="X65" s="7" t="s">
        <v>70</v>
      </c>
      <c r="Y65" s="11" t="s">
        <v>637</v>
      </c>
      <c r="Z65" s="11" t="s">
        <v>638</v>
      </c>
      <c r="AA65" s="36" t="s">
        <v>143</v>
      </c>
      <c r="AB65" s="36" t="s">
        <v>104</v>
      </c>
      <c r="AC65" s="36" t="s">
        <v>104</v>
      </c>
      <c r="AD65" s="7" t="s">
        <v>358</v>
      </c>
      <c r="AE65" s="7" t="s">
        <v>76</v>
      </c>
      <c r="AF65" s="7" t="s">
        <v>173</v>
      </c>
      <c r="AG65" s="14" t="s">
        <v>104</v>
      </c>
      <c r="AH65" s="14" t="s">
        <v>104</v>
      </c>
      <c r="AI65" s="37"/>
      <c r="AJ65" s="37"/>
      <c r="AK65" s="37"/>
      <c r="AL65" s="37"/>
      <c r="AM65" s="37"/>
      <c r="AN65" s="37"/>
      <c r="AO65" s="37"/>
      <c r="AP65" s="37"/>
      <c r="AQ65" s="37"/>
      <c r="AR65" s="37"/>
      <c r="AS65" s="37"/>
      <c r="AT65" s="37"/>
      <c r="AU65" s="37"/>
      <c r="AV65" s="37"/>
      <c r="AW65" s="37"/>
      <c r="AX65" s="37"/>
      <c r="AY65" s="37"/>
      <c r="AZ65" s="37"/>
      <c r="BA65" s="37"/>
      <c r="BB65" s="37"/>
      <c r="BC65" s="37"/>
      <c r="BD65" s="37"/>
      <c r="BE65" s="37"/>
      <c r="BF65" s="37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</row>
    <row r="66" spans="1:188" ht="15.75" customHeight="1" x14ac:dyDescent="0.35">
      <c r="A66" s="52" t="s">
        <v>223</v>
      </c>
      <c r="B66" s="29" t="s">
        <v>58</v>
      </c>
      <c r="C66" s="7">
        <v>65</v>
      </c>
      <c r="D66" s="7" t="s">
        <v>639</v>
      </c>
      <c r="E66" s="7" t="s">
        <v>640</v>
      </c>
      <c r="F66" s="8" t="s">
        <v>223</v>
      </c>
      <c r="G66" s="34" t="s">
        <v>641</v>
      </c>
      <c r="H66" s="7" t="s">
        <v>104</v>
      </c>
      <c r="I66" s="7" t="s">
        <v>104</v>
      </c>
      <c r="J66" s="47" t="s">
        <v>592</v>
      </c>
      <c r="K66" s="8" t="s">
        <v>227</v>
      </c>
      <c r="L66" s="7" t="s">
        <v>489</v>
      </c>
      <c r="M66" s="7" t="s">
        <v>480</v>
      </c>
      <c r="N66" s="7" t="s">
        <v>594</v>
      </c>
      <c r="O66" s="7" t="s">
        <v>595</v>
      </c>
      <c r="P66" s="7" t="s">
        <v>71</v>
      </c>
      <c r="Q66" s="8" t="s">
        <v>642</v>
      </c>
      <c r="R66" s="7" t="s">
        <v>71</v>
      </c>
      <c r="S66" s="7" t="s">
        <v>562</v>
      </c>
      <c r="T66" s="14" t="s">
        <v>597</v>
      </c>
      <c r="U66" s="7" t="s">
        <v>74</v>
      </c>
      <c r="V66" s="7" t="s">
        <v>597</v>
      </c>
      <c r="W66" s="7" t="s">
        <v>74</v>
      </c>
      <c r="X66" s="7" t="s">
        <v>70</v>
      </c>
      <c r="Y66" s="11" t="s">
        <v>643</v>
      </c>
      <c r="Z66" s="11" t="s">
        <v>644</v>
      </c>
      <c r="AA66" s="36" t="s">
        <v>143</v>
      </c>
      <c r="AB66" s="36" t="s">
        <v>104</v>
      </c>
      <c r="AC66" s="36" t="s">
        <v>104</v>
      </c>
      <c r="AD66" s="7" t="s">
        <v>358</v>
      </c>
      <c r="AE66" s="7" t="s">
        <v>76</v>
      </c>
      <c r="AF66" s="7" t="s">
        <v>173</v>
      </c>
      <c r="AG66" s="14" t="s">
        <v>104</v>
      </c>
      <c r="AH66" s="14" t="s">
        <v>104</v>
      </c>
      <c r="AI66" s="37"/>
      <c r="AJ66" s="37"/>
      <c r="AK66" s="37"/>
      <c r="AL66" s="37"/>
      <c r="AM66" s="37"/>
      <c r="AN66" s="37"/>
      <c r="AO66" s="37"/>
      <c r="AP66" s="37"/>
      <c r="AQ66" s="37"/>
      <c r="AR66" s="37"/>
      <c r="AS66" s="37"/>
      <c r="AT66" s="37"/>
      <c r="AU66" s="37"/>
      <c r="AV66" s="37"/>
      <c r="AW66" s="37"/>
      <c r="AX66" s="37"/>
      <c r="AY66" s="37"/>
      <c r="AZ66" s="37"/>
      <c r="BA66" s="37"/>
      <c r="BB66" s="37"/>
      <c r="BC66" s="37"/>
      <c r="BD66" s="37"/>
      <c r="BE66" s="37"/>
      <c r="BF66" s="37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</row>
    <row r="67" spans="1:188" ht="15.75" customHeight="1" x14ac:dyDescent="0.35">
      <c r="A67" s="52" t="s">
        <v>645</v>
      </c>
      <c r="B67" s="29" t="s">
        <v>58</v>
      </c>
      <c r="C67" s="7">
        <v>66</v>
      </c>
      <c r="D67" s="7" t="s">
        <v>646</v>
      </c>
      <c r="E67" s="7" t="s">
        <v>647</v>
      </c>
      <c r="F67" s="8" t="s">
        <v>645</v>
      </c>
      <c r="G67" s="34" t="s">
        <v>648</v>
      </c>
      <c r="H67" s="7" t="s">
        <v>104</v>
      </c>
      <c r="I67" s="7" t="s">
        <v>104</v>
      </c>
      <c r="J67" s="47" t="s">
        <v>649</v>
      </c>
      <c r="K67" s="8" t="s">
        <v>650</v>
      </c>
      <c r="L67" s="7" t="s">
        <v>489</v>
      </c>
      <c r="M67" s="7" t="s">
        <v>480</v>
      </c>
      <c r="N67" s="7" t="s">
        <v>594</v>
      </c>
      <c r="O67" s="7" t="s">
        <v>595</v>
      </c>
      <c r="P67" s="7" t="s">
        <v>71</v>
      </c>
      <c r="Q67" s="8" t="s">
        <v>651</v>
      </c>
      <c r="R67" s="7" t="s">
        <v>71</v>
      </c>
      <c r="S67" s="7" t="s">
        <v>562</v>
      </c>
      <c r="T67" s="14" t="s">
        <v>597</v>
      </c>
      <c r="U67" s="7" t="s">
        <v>74</v>
      </c>
      <c r="V67" s="7" t="s">
        <v>597</v>
      </c>
      <c r="W67" s="7" t="s">
        <v>74</v>
      </c>
      <c r="X67" s="7" t="s">
        <v>70</v>
      </c>
      <c r="Y67" s="11" t="s">
        <v>652</v>
      </c>
      <c r="Z67" s="11" t="s">
        <v>653</v>
      </c>
      <c r="AA67" s="36" t="s">
        <v>143</v>
      </c>
      <c r="AB67" s="36" t="s">
        <v>104</v>
      </c>
      <c r="AC67" s="36" t="s">
        <v>104</v>
      </c>
      <c r="AD67" s="7" t="s">
        <v>358</v>
      </c>
      <c r="AE67" s="7" t="s">
        <v>76</v>
      </c>
      <c r="AF67" s="7" t="s">
        <v>173</v>
      </c>
      <c r="AG67" s="14" t="s">
        <v>104</v>
      </c>
      <c r="AH67" s="14" t="s">
        <v>104</v>
      </c>
      <c r="AI67" s="37"/>
      <c r="AJ67" s="37"/>
      <c r="AK67" s="37"/>
      <c r="AL67" s="37"/>
      <c r="AM67" s="37"/>
      <c r="AN67" s="37"/>
      <c r="AO67" s="37"/>
      <c r="AP67" s="37"/>
      <c r="AQ67" s="37"/>
      <c r="AR67" s="37"/>
      <c r="AS67" s="37"/>
      <c r="AT67" s="37"/>
      <c r="AU67" s="37"/>
      <c r="AV67" s="37"/>
      <c r="AW67" s="37"/>
      <c r="AX67" s="37"/>
      <c r="AY67" s="37"/>
      <c r="AZ67" s="37"/>
      <c r="BA67" s="37"/>
      <c r="BB67" s="37"/>
      <c r="BC67" s="37"/>
      <c r="BD67" s="37"/>
      <c r="BE67" s="37"/>
      <c r="BF67" s="37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</row>
    <row r="68" spans="1:188" ht="15.75" customHeight="1" x14ac:dyDescent="0.35">
      <c r="A68" s="52" t="s">
        <v>654</v>
      </c>
      <c r="B68" s="29" t="s">
        <v>58</v>
      </c>
      <c r="C68" s="7">
        <v>67</v>
      </c>
      <c r="D68" s="7" t="s">
        <v>655</v>
      </c>
      <c r="E68" s="7" t="s">
        <v>656</v>
      </c>
      <c r="F68" s="8" t="s">
        <v>654</v>
      </c>
      <c r="G68" s="34" t="s">
        <v>657</v>
      </c>
      <c r="H68" s="7" t="s">
        <v>104</v>
      </c>
      <c r="I68" s="7" t="s">
        <v>104</v>
      </c>
      <c r="J68" s="47" t="s">
        <v>649</v>
      </c>
      <c r="K68" s="8" t="s">
        <v>658</v>
      </c>
      <c r="L68" s="7" t="s">
        <v>489</v>
      </c>
      <c r="M68" s="7" t="s">
        <v>480</v>
      </c>
      <c r="N68" s="7" t="s">
        <v>594</v>
      </c>
      <c r="O68" s="7" t="s">
        <v>595</v>
      </c>
      <c r="P68" s="7" t="s">
        <v>71</v>
      </c>
      <c r="Q68" s="8" t="s">
        <v>659</v>
      </c>
      <c r="R68" s="7" t="s">
        <v>71</v>
      </c>
      <c r="S68" s="7" t="s">
        <v>562</v>
      </c>
      <c r="T68" s="14" t="s">
        <v>597</v>
      </c>
      <c r="U68" s="7" t="s">
        <v>74</v>
      </c>
      <c r="V68" s="7" t="s">
        <v>597</v>
      </c>
      <c r="W68" s="7" t="s">
        <v>74</v>
      </c>
      <c r="X68" s="7" t="s">
        <v>70</v>
      </c>
      <c r="Y68" s="11" t="s">
        <v>660</v>
      </c>
      <c r="Z68" s="11" t="s">
        <v>661</v>
      </c>
      <c r="AA68" s="36" t="s">
        <v>143</v>
      </c>
      <c r="AB68" s="36" t="s">
        <v>104</v>
      </c>
      <c r="AC68" s="36" t="s">
        <v>104</v>
      </c>
      <c r="AD68" s="7" t="s">
        <v>358</v>
      </c>
      <c r="AE68" s="7" t="s">
        <v>76</v>
      </c>
      <c r="AF68" s="7" t="s">
        <v>173</v>
      </c>
      <c r="AG68" s="14" t="s">
        <v>104</v>
      </c>
      <c r="AH68" s="14" t="s">
        <v>104</v>
      </c>
      <c r="AI68" s="37"/>
      <c r="AJ68" s="37"/>
      <c r="AK68" s="37"/>
      <c r="AL68" s="37"/>
      <c r="AM68" s="37"/>
      <c r="AN68" s="37"/>
      <c r="AO68" s="37"/>
      <c r="AP68" s="37"/>
      <c r="AQ68" s="37"/>
      <c r="AR68" s="37"/>
      <c r="AS68" s="37"/>
      <c r="AT68" s="37"/>
      <c r="AU68" s="37"/>
      <c r="AV68" s="37"/>
      <c r="AW68" s="37"/>
      <c r="AX68" s="37"/>
      <c r="AY68" s="37"/>
      <c r="AZ68" s="37"/>
      <c r="BA68" s="37"/>
      <c r="BB68" s="37"/>
      <c r="BC68" s="37"/>
      <c r="BD68" s="37"/>
      <c r="BE68" s="37"/>
      <c r="BF68" s="37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</row>
    <row r="69" spans="1:188" ht="15.75" customHeight="1" x14ac:dyDescent="0.35">
      <c r="A69" s="52" t="s">
        <v>662</v>
      </c>
      <c r="B69" s="29" t="s">
        <v>58</v>
      </c>
      <c r="C69" s="7">
        <v>68</v>
      </c>
      <c r="D69" s="7" t="s">
        <v>663</v>
      </c>
      <c r="E69" s="7" t="s">
        <v>664</v>
      </c>
      <c r="F69" s="8" t="s">
        <v>662</v>
      </c>
      <c r="G69" s="34" t="s">
        <v>662</v>
      </c>
      <c r="H69" s="7" t="s">
        <v>104</v>
      </c>
      <c r="I69" s="7" t="s">
        <v>104</v>
      </c>
      <c r="J69" s="47" t="s">
        <v>592</v>
      </c>
      <c r="K69" s="8" t="s">
        <v>665</v>
      </c>
      <c r="L69" s="7" t="s">
        <v>489</v>
      </c>
      <c r="M69" s="7" t="s">
        <v>480</v>
      </c>
      <c r="N69" s="7" t="s">
        <v>594</v>
      </c>
      <c r="O69" s="7" t="s">
        <v>595</v>
      </c>
      <c r="P69" s="7" t="s">
        <v>71</v>
      </c>
      <c r="Q69" s="8" t="s">
        <v>666</v>
      </c>
      <c r="R69" s="7" t="s">
        <v>71</v>
      </c>
      <c r="S69" s="7" t="s">
        <v>562</v>
      </c>
      <c r="T69" s="14" t="s">
        <v>597</v>
      </c>
      <c r="U69" s="7" t="s">
        <v>74</v>
      </c>
      <c r="V69" s="7" t="s">
        <v>597</v>
      </c>
      <c r="W69" s="7" t="s">
        <v>74</v>
      </c>
      <c r="X69" s="7" t="s">
        <v>70</v>
      </c>
      <c r="Y69" s="11" t="s">
        <v>667</v>
      </c>
      <c r="Z69" s="11" t="s">
        <v>668</v>
      </c>
      <c r="AA69" s="36" t="s">
        <v>143</v>
      </c>
      <c r="AB69" s="36" t="s">
        <v>104</v>
      </c>
      <c r="AC69" s="36" t="s">
        <v>104</v>
      </c>
      <c r="AD69" s="7" t="s">
        <v>358</v>
      </c>
      <c r="AE69" s="7" t="s">
        <v>76</v>
      </c>
      <c r="AF69" s="7" t="s">
        <v>173</v>
      </c>
      <c r="AG69" s="14" t="s">
        <v>104</v>
      </c>
      <c r="AH69" s="14" t="s">
        <v>104</v>
      </c>
      <c r="AI69" s="37"/>
      <c r="AJ69" s="37"/>
      <c r="AK69" s="37"/>
      <c r="AL69" s="37"/>
      <c r="AM69" s="37"/>
      <c r="AN69" s="37"/>
      <c r="AO69" s="37"/>
      <c r="AP69" s="37"/>
      <c r="AQ69" s="37"/>
      <c r="AR69" s="37"/>
      <c r="AS69" s="37"/>
      <c r="AT69" s="37"/>
      <c r="AU69" s="37"/>
      <c r="AV69" s="37"/>
      <c r="AW69" s="37"/>
      <c r="AX69" s="37"/>
      <c r="AY69" s="37"/>
      <c r="AZ69" s="37"/>
      <c r="BA69" s="37"/>
      <c r="BB69" s="37"/>
      <c r="BC69" s="37"/>
      <c r="BD69" s="37"/>
      <c r="BE69" s="37"/>
      <c r="BF69" s="37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</row>
    <row r="70" spans="1:188" ht="15.75" customHeight="1" x14ac:dyDescent="0.35">
      <c r="A70" s="52" t="s">
        <v>669</v>
      </c>
      <c r="B70" s="29" t="s">
        <v>58</v>
      </c>
      <c r="C70" s="7">
        <v>69</v>
      </c>
      <c r="D70" s="7" t="s">
        <v>670</v>
      </c>
      <c r="E70" s="7" t="s">
        <v>671</v>
      </c>
      <c r="F70" s="8" t="s">
        <v>669</v>
      </c>
      <c r="G70" s="34" t="s">
        <v>672</v>
      </c>
      <c r="H70" s="7" t="s">
        <v>673</v>
      </c>
      <c r="I70" s="7" t="s">
        <v>674</v>
      </c>
      <c r="J70" s="47" t="s">
        <v>592</v>
      </c>
      <c r="K70" s="8" t="s">
        <v>675</v>
      </c>
      <c r="L70" s="7" t="s">
        <v>489</v>
      </c>
      <c r="M70" s="7" t="s">
        <v>480</v>
      </c>
      <c r="N70" s="7" t="s">
        <v>594</v>
      </c>
      <c r="O70" s="7" t="s">
        <v>595</v>
      </c>
      <c r="P70" s="7" t="s">
        <v>71</v>
      </c>
      <c r="Q70" s="8" t="s">
        <v>676</v>
      </c>
      <c r="R70" s="7" t="s">
        <v>71</v>
      </c>
      <c r="S70" s="7" t="s">
        <v>562</v>
      </c>
      <c r="T70" s="14" t="s">
        <v>597</v>
      </c>
      <c r="U70" s="7" t="s">
        <v>74</v>
      </c>
      <c r="V70" s="7" t="s">
        <v>597</v>
      </c>
      <c r="W70" s="7" t="s">
        <v>74</v>
      </c>
      <c r="X70" s="7" t="s">
        <v>70</v>
      </c>
      <c r="Y70" s="11" t="s">
        <v>677</v>
      </c>
      <c r="Z70" s="11" t="s">
        <v>678</v>
      </c>
      <c r="AA70" s="36" t="s">
        <v>143</v>
      </c>
      <c r="AB70" s="36" t="s">
        <v>104</v>
      </c>
      <c r="AC70" s="36" t="s">
        <v>104</v>
      </c>
      <c r="AD70" s="7" t="s">
        <v>358</v>
      </c>
      <c r="AE70" s="7" t="s">
        <v>76</v>
      </c>
      <c r="AF70" s="7" t="s">
        <v>173</v>
      </c>
      <c r="AG70" s="14" t="s">
        <v>104</v>
      </c>
      <c r="AH70" s="14" t="s">
        <v>104</v>
      </c>
      <c r="AI70" s="37" t="s">
        <v>679</v>
      </c>
      <c r="AJ70" s="37" t="s">
        <v>680</v>
      </c>
      <c r="AK70" s="37" t="s">
        <v>681</v>
      </c>
      <c r="AL70" s="37" t="s">
        <v>682</v>
      </c>
      <c r="AM70" s="37"/>
      <c r="AN70" s="37"/>
      <c r="AO70" s="37"/>
      <c r="AP70" s="37"/>
      <c r="AQ70" s="37"/>
      <c r="AR70" s="37"/>
      <c r="AS70" s="37"/>
      <c r="AT70" s="37"/>
      <c r="AU70" s="37"/>
      <c r="AV70" s="37"/>
      <c r="AW70" s="37"/>
      <c r="AX70" s="37"/>
      <c r="AY70" s="37"/>
      <c r="AZ70" s="37"/>
      <c r="BA70" s="37"/>
      <c r="BB70" s="37"/>
      <c r="BC70" s="37"/>
      <c r="BD70" s="37"/>
      <c r="BE70" s="37"/>
      <c r="BF70" s="37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</row>
    <row r="71" spans="1:188" ht="15.75" customHeight="1" x14ac:dyDescent="0.35">
      <c r="A71" s="5" t="s">
        <v>683</v>
      </c>
      <c r="B71" s="29" t="s">
        <v>58</v>
      </c>
      <c r="C71" s="7">
        <v>70</v>
      </c>
      <c r="D71" s="7" t="s">
        <v>684</v>
      </c>
      <c r="E71" s="7" t="s">
        <v>685</v>
      </c>
      <c r="F71" s="8" t="s">
        <v>683</v>
      </c>
      <c r="G71" s="34" t="s">
        <v>686</v>
      </c>
      <c r="H71" s="14" t="s">
        <v>687</v>
      </c>
      <c r="I71" s="7" t="s">
        <v>104</v>
      </c>
      <c r="J71" s="47" t="s">
        <v>688</v>
      </c>
      <c r="K71" s="8" t="s">
        <v>689</v>
      </c>
      <c r="L71" s="7" t="s">
        <v>690</v>
      </c>
      <c r="M71" s="7" t="s">
        <v>384</v>
      </c>
      <c r="N71" s="7" t="s">
        <v>70</v>
      </c>
      <c r="O71" s="7" t="s">
        <v>1079</v>
      </c>
      <c r="P71" s="7" t="s">
        <v>1079</v>
      </c>
      <c r="Q71" s="7" t="s">
        <v>1079</v>
      </c>
      <c r="R71" s="7" t="s">
        <v>71</v>
      </c>
      <c r="S71" s="7" t="s">
        <v>412</v>
      </c>
      <c r="T71" s="14" t="s">
        <v>691</v>
      </c>
      <c r="U71" s="7" t="s">
        <v>74</v>
      </c>
      <c r="V71" s="7" t="s">
        <v>140</v>
      </c>
      <c r="W71" s="7" t="s">
        <v>74</v>
      </c>
      <c r="X71" s="7" t="s">
        <v>70</v>
      </c>
      <c r="Y71" s="11" t="s">
        <v>692</v>
      </c>
      <c r="Z71" s="11" t="s">
        <v>693</v>
      </c>
      <c r="AA71" s="36" t="s">
        <v>143</v>
      </c>
      <c r="AB71" s="36" t="s">
        <v>104</v>
      </c>
      <c r="AC71" s="36" t="s">
        <v>104</v>
      </c>
      <c r="AD71" s="7" t="s">
        <v>358</v>
      </c>
      <c r="AE71" s="7" t="s">
        <v>76</v>
      </c>
      <c r="AF71" s="7" t="s">
        <v>173</v>
      </c>
      <c r="AG71" s="14" t="s">
        <v>104</v>
      </c>
      <c r="AH71" s="14" t="s">
        <v>104</v>
      </c>
      <c r="AI71" s="37"/>
      <c r="AJ71" s="37"/>
      <c r="AK71" s="37"/>
      <c r="AL71" s="37"/>
      <c r="AM71" s="37"/>
      <c r="AN71" s="37"/>
      <c r="AO71" s="37"/>
      <c r="AP71" s="37"/>
      <c r="AQ71" s="37"/>
      <c r="AR71" s="37"/>
      <c r="AS71" s="37"/>
      <c r="AT71" s="37"/>
      <c r="AU71" s="37"/>
      <c r="AV71" s="37"/>
      <c r="AW71" s="37"/>
      <c r="AX71" s="37"/>
      <c r="AY71" s="37"/>
      <c r="AZ71" s="37"/>
      <c r="BA71" s="37"/>
      <c r="BB71" s="37"/>
      <c r="BC71" s="37"/>
      <c r="BD71" s="37"/>
      <c r="BE71" s="37"/>
      <c r="BF71" s="37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</row>
    <row r="72" spans="1:188" ht="15.75" customHeight="1" x14ac:dyDescent="0.35">
      <c r="A72" s="5" t="s">
        <v>694</v>
      </c>
      <c r="B72" s="29" t="s">
        <v>58</v>
      </c>
      <c r="C72" s="7">
        <v>71</v>
      </c>
      <c r="D72" s="7" t="s">
        <v>695</v>
      </c>
      <c r="E72" s="7" t="s">
        <v>696</v>
      </c>
      <c r="F72" s="5" t="s">
        <v>697</v>
      </c>
      <c r="G72" s="8" t="s">
        <v>698</v>
      </c>
      <c r="H72" s="7" t="s">
        <v>699</v>
      </c>
      <c r="I72" s="7" t="s">
        <v>700</v>
      </c>
      <c r="J72" s="31" t="s">
        <v>701</v>
      </c>
      <c r="K72" s="5" t="s">
        <v>702</v>
      </c>
      <c r="L72" s="7" t="s">
        <v>489</v>
      </c>
      <c r="M72" s="7" t="s">
        <v>561</v>
      </c>
      <c r="N72" s="7" t="s">
        <v>703</v>
      </c>
      <c r="O72" s="11">
        <v>3727500</v>
      </c>
      <c r="P72" s="7" t="s">
        <v>71</v>
      </c>
      <c r="Q72" s="26" t="s">
        <v>1080</v>
      </c>
      <c r="R72" s="7" t="s">
        <v>71</v>
      </c>
      <c r="S72" s="7" t="s">
        <v>512</v>
      </c>
      <c r="T72" s="10" t="s">
        <v>704</v>
      </c>
      <c r="U72" s="7" t="s">
        <v>74</v>
      </c>
      <c r="V72" s="10" t="s">
        <v>704</v>
      </c>
      <c r="W72" s="7" t="s">
        <v>74</v>
      </c>
      <c r="X72" s="7" t="s">
        <v>70</v>
      </c>
      <c r="Y72" s="11">
        <v>3727500</v>
      </c>
      <c r="Z72" s="11">
        <f t="shared" ref="Z72:Z73" si="6">Y72/12</f>
        <v>310625</v>
      </c>
      <c r="AA72" s="45" t="s">
        <v>143</v>
      </c>
      <c r="AB72" s="17" t="s">
        <v>104</v>
      </c>
      <c r="AC72" s="17" t="s">
        <v>104</v>
      </c>
      <c r="AD72" s="7" t="s">
        <v>358</v>
      </c>
      <c r="AE72" s="7" t="s">
        <v>76</v>
      </c>
      <c r="AF72" s="7" t="s">
        <v>173</v>
      </c>
      <c r="AG72" s="14" t="s">
        <v>104</v>
      </c>
      <c r="AH72" s="14" t="s">
        <v>104</v>
      </c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</row>
    <row r="73" spans="1:188" ht="15.75" customHeight="1" x14ac:dyDescent="0.35">
      <c r="A73" s="5" t="s">
        <v>705</v>
      </c>
      <c r="B73" s="29" t="s">
        <v>58</v>
      </c>
      <c r="C73" s="7">
        <v>72</v>
      </c>
      <c r="D73" s="7" t="s">
        <v>706</v>
      </c>
      <c r="E73" s="7" t="s">
        <v>707</v>
      </c>
      <c r="F73" s="8" t="s">
        <v>708</v>
      </c>
      <c r="G73" s="8" t="s">
        <v>709</v>
      </c>
      <c r="H73" s="7" t="s">
        <v>710</v>
      </c>
      <c r="I73" s="7" t="s">
        <v>104</v>
      </c>
      <c r="J73" s="31" t="s">
        <v>711</v>
      </c>
      <c r="K73" s="5" t="s">
        <v>712</v>
      </c>
      <c r="L73" s="7" t="s">
        <v>67</v>
      </c>
      <c r="M73" s="7" t="s">
        <v>349</v>
      </c>
      <c r="N73" s="7" t="s">
        <v>69</v>
      </c>
      <c r="O73" s="7" t="s">
        <v>1079</v>
      </c>
      <c r="P73" s="7" t="s">
        <v>1079</v>
      </c>
      <c r="Q73" s="7" t="s">
        <v>1079</v>
      </c>
      <c r="R73" s="7" t="s">
        <v>71</v>
      </c>
      <c r="S73" s="7" t="s">
        <v>412</v>
      </c>
      <c r="T73" s="7" t="s">
        <v>713</v>
      </c>
      <c r="U73" s="7" t="s">
        <v>74</v>
      </c>
      <c r="V73" s="7" t="s">
        <v>714</v>
      </c>
      <c r="W73" s="7" t="s">
        <v>714</v>
      </c>
      <c r="X73" s="7" t="s">
        <v>714</v>
      </c>
      <c r="Y73" s="11">
        <v>756000</v>
      </c>
      <c r="Z73" s="11">
        <f t="shared" si="6"/>
        <v>63000</v>
      </c>
      <c r="AA73" s="45" t="s">
        <v>143</v>
      </c>
      <c r="AB73" s="17" t="s">
        <v>104</v>
      </c>
      <c r="AC73" s="17" t="s">
        <v>104</v>
      </c>
      <c r="AD73" s="7" t="s">
        <v>358</v>
      </c>
      <c r="AE73" s="7" t="s">
        <v>76</v>
      </c>
      <c r="AF73" s="7" t="s">
        <v>173</v>
      </c>
      <c r="AG73" s="14" t="s">
        <v>104</v>
      </c>
      <c r="AH73" s="14" t="s">
        <v>104</v>
      </c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</row>
    <row r="74" spans="1:188" ht="15.75" customHeight="1" x14ac:dyDescent="0.35">
      <c r="A74" s="5" t="s">
        <v>715</v>
      </c>
      <c r="B74" s="29"/>
      <c r="C74" s="7">
        <v>73</v>
      </c>
      <c r="D74" s="7" t="s">
        <v>716</v>
      </c>
      <c r="E74" s="7" t="s">
        <v>717</v>
      </c>
      <c r="F74" s="5" t="s">
        <v>718</v>
      </c>
      <c r="G74" s="8" t="s">
        <v>719</v>
      </c>
      <c r="H74" s="14" t="s">
        <v>104</v>
      </c>
      <c r="I74" s="7" t="s">
        <v>104</v>
      </c>
      <c r="J74" s="31" t="s">
        <v>720</v>
      </c>
      <c r="K74" s="8" t="s">
        <v>721</v>
      </c>
      <c r="L74" s="7" t="s">
        <v>247</v>
      </c>
      <c r="M74" s="7" t="s">
        <v>722</v>
      </c>
      <c r="N74" s="7" t="s">
        <v>69</v>
      </c>
      <c r="O74" s="7" t="s">
        <v>1079</v>
      </c>
      <c r="P74" s="7" t="s">
        <v>1079</v>
      </c>
      <c r="Q74" s="7" t="s">
        <v>1079</v>
      </c>
      <c r="R74" s="7" t="s">
        <v>723</v>
      </c>
      <c r="S74" s="7" t="s">
        <v>562</v>
      </c>
      <c r="T74" s="7" t="s">
        <v>724</v>
      </c>
      <c r="U74" s="7" t="s">
        <v>74</v>
      </c>
      <c r="V74" s="7" t="s">
        <v>70</v>
      </c>
      <c r="W74" s="7" t="s">
        <v>70</v>
      </c>
      <c r="X74" s="7" t="s">
        <v>70</v>
      </c>
      <c r="Y74" s="11">
        <v>31104</v>
      </c>
      <c r="Z74" s="11">
        <f>Y74/3</f>
        <v>10368</v>
      </c>
      <c r="AA74" s="45" t="s">
        <v>143</v>
      </c>
      <c r="AB74" s="17" t="s">
        <v>104</v>
      </c>
      <c r="AC74" s="17" t="s">
        <v>104</v>
      </c>
      <c r="AD74" s="7" t="s">
        <v>358</v>
      </c>
      <c r="AE74" s="7" t="s">
        <v>76</v>
      </c>
      <c r="AF74" s="7" t="s">
        <v>173</v>
      </c>
      <c r="AG74" s="14" t="s">
        <v>104</v>
      </c>
      <c r="AH74" s="14" t="s">
        <v>104</v>
      </c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</row>
    <row r="75" spans="1:188" ht="15.75" customHeight="1" x14ac:dyDescent="0.35">
      <c r="A75" s="5" t="s">
        <v>725</v>
      </c>
      <c r="B75" s="29"/>
      <c r="C75" s="7">
        <v>74</v>
      </c>
      <c r="D75" s="7" t="s">
        <v>726</v>
      </c>
      <c r="E75" s="7" t="s">
        <v>727</v>
      </c>
      <c r="F75" s="8" t="s">
        <v>725</v>
      </c>
      <c r="G75" s="8" t="s">
        <v>728</v>
      </c>
      <c r="H75" s="7" t="s">
        <v>104</v>
      </c>
      <c r="I75" s="7" t="s">
        <v>104</v>
      </c>
      <c r="J75" s="53" t="s">
        <v>729</v>
      </c>
      <c r="K75" s="8" t="s">
        <v>730</v>
      </c>
      <c r="L75" s="7" t="s">
        <v>247</v>
      </c>
      <c r="M75" s="7" t="s">
        <v>731</v>
      </c>
      <c r="N75" s="7" t="s">
        <v>69</v>
      </c>
      <c r="O75" s="7" t="s">
        <v>1079</v>
      </c>
      <c r="P75" s="7" t="s">
        <v>1079</v>
      </c>
      <c r="Q75" s="7" t="s">
        <v>1079</v>
      </c>
      <c r="R75" s="7" t="s">
        <v>732</v>
      </c>
      <c r="S75" s="7" t="s">
        <v>562</v>
      </c>
      <c r="T75" s="7" t="s">
        <v>733</v>
      </c>
      <c r="U75" s="7" t="s">
        <v>74</v>
      </c>
      <c r="V75" s="7" t="s">
        <v>70</v>
      </c>
      <c r="W75" s="7" t="s">
        <v>70</v>
      </c>
      <c r="X75" s="7" t="s">
        <v>70</v>
      </c>
      <c r="Y75" s="11">
        <v>1111830.46</v>
      </c>
      <c r="Z75" s="11">
        <f>Y75/6</f>
        <v>185305.07666666666</v>
      </c>
      <c r="AA75" s="45" t="s">
        <v>143</v>
      </c>
      <c r="AB75" s="17" t="s">
        <v>104</v>
      </c>
      <c r="AC75" s="17" t="s">
        <v>104</v>
      </c>
      <c r="AD75" s="7" t="s">
        <v>358</v>
      </c>
      <c r="AE75" s="7" t="s">
        <v>76</v>
      </c>
      <c r="AF75" s="7" t="s">
        <v>173</v>
      </c>
      <c r="AG75" s="14" t="s">
        <v>104</v>
      </c>
      <c r="AH75" s="14" t="s">
        <v>104</v>
      </c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</row>
    <row r="76" spans="1:188" ht="15.75" customHeight="1" x14ac:dyDescent="0.35">
      <c r="A76" s="5" t="s">
        <v>734</v>
      </c>
      <c r="B76" s="29"/>
      <c r="C76" s="7">
        <v>75</v>
      </c>
      <c r="D76" s="7" t="s">
        <v>735</v>
      </c>
      <c r="E76" s="7" t="s">
        <v>736</v>
      </c>
      <c r="F76" s="5" t="s">
        <v>734</v>
      </c>
      <c r="G76" s="8" t="s">
        <v>737</v>
      </c>
      <c r="H76" s="7" t="s">
        <v>104</v>
      </c>
      <c r="I76" s="7" t="s">
        <v>104</v>
      </c>
      <c r="J76" s="31" t="s">
        <v>738</v>
      </c>
      <c r="K76" s="8" t="s">
        <v>739</v>
      </c>
      <c r="L76" s="7" t="s">
        <v>690</v>
      </c>
      <c r="M76" s="7" t="s">
        <v>480</v>
      </c>
      <c r="N76" s="7" t="s">
        <v>70</v>
      </c>
      <c r="O76" s="7" t="s">
        <v>1079</v>
      </c>
      <c r="P76" s="7" t="s">
        <v>1079</v>
      </c>
      <c r="Q76" s="7" t="s">
        <v>1079</v>
      </c>
      <c r="R76" s="7" t="s">
        <v>740</v>
      </c>
      <c r="S76" s="7" t="s">
        <v>280</v>
      </c>
      <c r="T76" s="7" t="s">
        <v>741</v>
      </c>
      <c r="U76" s="7" t="s">
        <v>74</v>
      </c>
      <c r="V76" s="7" t="s">
        <v>140</v>
      </c>
      <c r="W76" s="7" t="s">
        <v>74</v>
      </c>
      <c r="X76" s="7" t="s">
        <v>70</v>
      </c>
      <c r="Y76" s="11">
        <v>4986074.0999999996</v>
      </c>
      <c r="Z76" s="11">
        <f t="shared" ref="Z76:Z80" si="7">Y76/12</f>
        <v>415506.17499999999</v>
      </c>
      <c r="AA76" s="45" t="s">
        <v>143</v>
      </c>
      <c r="AB76" s="17" t="s">
        <v>104</v>
      </c>
      <c r="AC76" s="17" t="s">
        <v>104</v>
      </c>
      <c r="AD76" s="7" t="s">
        <v>358</v>
      </c>
      <c r="AE76" s="7" t="s">
        <v>76</v>
      </c>
      <c r="AF76" s="7" t="s">
        <v>742</v>
      </c>
      <c r="AG76" s="14" t="s">
        <v>104</v>
      </c>
      <c r="AH76" s="14" t="s">
        <v>104</v>
      </c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</row>
    <row r="77" spans="1:188" ht="15.75" customHeight="1" x14ac:dyDescent="0.35">
      <c r="A77" s="5" t="s">
        <v>743</v>
      </c>
      <c r="B77" s="29"/>
      <c r="C77" s="7">
        <v>76</v>
      </c>
      <c r="D77" s="7" t="s">
        <v>744</v>
      </c>
      <c r="E77" s="7" t="s">
        <v>745</v>
      </c>
      <c r="F77" s="5" t="s">
        <v>743</v>
      </c>
      <c r="G77" s="8" t="s">
        <v>746</v>
      </c>
      <c r="H77" s="7" t="s">
        <v>104</v>
      </c>
      <c r="I77" s="7" t="s">
        <v>104</v>
      </c>
      <c r="J77" s="31" t="s">
        <v>738</v>
      </c>
      <c r="K77" s="8" t="s">
        <v>747</v>
      </c>
      <c r="L77" s="7" t="s">
        <v>690</v>
      </c>
      <c r="M77" s="7" t="s">
        <v>480</v>
      </c>
      <c r="N77" s="7" t="s">
        <v>70</v>
      </c>
      <c r="O77" s="7" t="s">
        <v>1079</v>
      </c>
      <c r="P77" s="7" t="s">
        <v>1079</v>
      </c>
      <c r="Q77" s="7" t="s">
        <v>1079</v>
      </c>
      <c r="R77" s="7" t="s">
        <v>740</v>
      </c>
      <c r="S77" s="7" t="s">
        <v>280</v>
      </c>
      <c r="T77" s="7" t="s">
        <v>741</v>
      </c>
      <c r="U77" s="7" t="s">
        <v>74</v>
      </c>
      <c r="V77" s="7" t="s">
        <v>140</v>
      </c>
      <c r="W77" s="7" t="s">
        <v>74</v>
      </c>
      <c r="X77" s="7" t="s">
        <v>70</v>
      </c>
      <c r="Y77" s="11">
        <v>4101707.17</v>
      </c>
      <c r="Z77" s="11">
        <f t="shared" si="7"/>
        <v>341808.93083333335</v>
      </c>
      <c r="AA77" s="45" t="s">
        <v>143</v>
      </c>
      <c r="AB77" s="17" t="s">
        <v>104</v>
      </c>
      <c r="AC77" s="17" t="s">
        <v>104</v>
      </c>
      <c r="AD77" s="7" t="s">
        <v>358</v>
      </c>
      <c r="AE77" s="7" t="s">
        <v>76</v>
      </c>
      <c r="AF77" s="7" t="s">
        <v>742</v>
      </c>
      <c r="AG77" s="14" t="s">
        <v>104</v>
      </c>
      <c r="AH77" s="14" t="s">
        <v>104</v>
      </c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</row>
    <row r="78" spans="1:188" ht="15.75" customHeight="1" x14ac:dyDescent="0.35">
      <c r="A78" s="5" t="s">
        <v>748</v>
      </c>
      <c r="B78" s="29" t="s">
        <v>58</v>
      </c>
      <c r="C78" s="7">
        <v>77</v>
      </c>
      <c r="D78" s="7" t="s">
        <v>104</v>
      </c>
      <c r="E78" s="7" t="s">
        <v>749</v>
      </c>
      <c r="F78" s="5" t="s">
        <v>750</v>
      </c>
      <c r="G78" s="8" t="s">
        <v>751</v>
      </c>
      <c r="H78" s="7" t="s">
        <v>331</v>
      </c>
      <c r="I78" s="54" t="s">
        <v>104</v>
      </c>
      <c r="J78" s="5" t="s">
        <v>752</v>
      </c>
      <c r="K78" s="55" t="s">
        <v>753</v>
      </c>
      <c r="L78" s="7" t="s">
        <v>754</v>
      </c>
      <c r="M78" s="7" t="s">
        <v>107</v>
      </c>
      <c r="N78" s="7" t="s">
        <v>755</v>
      </c>
      <c r="O78" s="11">
        <v>6678218</v>
      </c>
      <c r="P78" s="7" t="s">
        <v>71</v>
      </c>
      <c r="Q78" s="8" t="s">
        <v>756</v>
      </c>
      <c r="R78" s="7" t="s">
        <v>71</v>
      </c>
      <c r="S78" s="7" t="s">
        <v>562</v>
      </c>
      <c r="T78" s="7" t="s">
        <v>757</v>
      </c>
      <c r="U78" s="7" t="s">
        <v>74</v>
      </c>
      <c r="V78" s="7" t="s">
        <v>757</v>
      </c>
      <c r="W78" s="7" t="s">
        <v>74</v>
      </c>
      <c r="X78" s="7" t="s">
        <v>70</v>
      </c>
      <c r="Y78" s="11">
        <v>6678218</v>
      </c>
      <c r="Z78" s="11">
        <f t="shared" si="7"/>
        <v>556518.16666666663</v>
      </c>
      <c r="AA78" s="45" t="s">
        <v>143</v>
      </c>
      <c r="AB78" s="17" t="s">
        <v>104</v>
      </c>
      <c r="AC78" s="17" t="s">
        <v>104</v>
      </c>
      <c r="AD78" s="7" t="s">
        <v>358</v>
      </c>
      <c r="AE78" s="7" t="s">
        <v>76</v>
      </c>
      <c r="AF78" s="7" t="s">
        <v>742</v>
      </c>
      <c r="AG78" s="14" t="s">
        <v>104</v>
      </c>
      <c r="AH78" s="14" t="s">
        <v>104</v>
      </c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</row>
    <row r="79" spans="1:188" ht="15.75" customHeight="1" x14ac:dyDescent="0.35">
      <c r="A79" s="8" t="s">
        <v>758</v>
      </c>
      <c r="B79" s="56" t="s">
        <v>58</v>
      </c>
      <c r="C79" s="7">
        <v>78</v>
      </c>
      <c r="D79" s="7" t="s">
        <v>759</v>
      </c>
      <c r="E79" s="7" t="s">
        <v>745</v>
      </c>
      <c r="F79" s="8" t="s">
        <v>760</v>
      </c>
      <c r="G79" s="8" t="s">
        <v>761</v>
      </c>
      <c r="H79" s="7"/>
      <c r="I79" s="7"/>
      <c r="J79" s="57" t="s">
        <v>762</v>
      </c>
      <c r="K79" s="8" t="s">
        <v>763</v>
      </c>
      <c r="L79" s="7" t="s">
        <v>67</v>
      </c>
      <c r="M79" s="7" t="s">
        <v>764</v>
      </c>
      <c r="N79" s="7" t="s">
        <v>69</v>
      </c>
      <c r="O79" s="7" t="s">
        <v>1079</v>
      </c>
      <c r="P79" s="7" t="s">
        <v>1079</v>
      </c>
      <c r="Q79" s="7" t="s">
        <v>1079</v>
      </c>
      <c r="R79" s="7" t="s">
        <v>137</v>
      </c>
      <c r="S79" s="7" t="s">
        <v>562</v>
      </c>
      <c r="T79" s="7" t="s">
        <v>104</v>
      </c>
      <c r="U79" s="7" t="s">
        <v>74</v>
      </c>
      <c r="V79" s="7" t="s">
        <v>70</v>
      </c>
      <c r="W79" s="7" t="s">
        <v>70</v>
      </c>
      <c r="X79" s="7" t="s">
        <v>70</v>
      </c>
      <c r="Y79" s="11">
        <v>180000</v>
      </c>
      <c r="Z79" s="11">
        <f t="shared" si="7"/>
        <v>15000</v>
      </c>
      <c r="AA79" s="45" t="s">
        <v>143</v>
      </c>
      <c r="AB79" s="17" t="s">
        <v>104</v>
      </c>
      <c r="AC79" s="17" t="s">
        <v>104</v>
      </c>
      <c r="AD79" s="7" t="s">
        <v>358</v>
      </c>
      <c r="AE79" s="7" t="s">
        <v>76</v>
      </c>
      <c r="AF79" s="7" t="s">
        <v>742</v>
      </c>
      <c r="AG79" s="14" t="s">
        <v>104</v>
      </c>
      <c r="AH79" s="14" t="s">
        <v>104</v>
      </c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</row>
    <row r="80" spans="1:188" ht="15.75" customHeight="1" x14ac:dyDescent="0.35">
      <c r="A80" s="8" t="s">
        <v>765</v>
      </c>
      <c r="B80" s="56" t="s">
        <v>58</v>
      </c>
      <c r="C80" s="7">
        <v>79</v>
      </c>
      <c r="D80" s="7" t="s">
        <v>766</v>
      </c>
      <c r="E80" s="7" t="s">
        <v>767</v>
      </c>
      <c r="F80" s="8" t="s">
        <v>765</v>
      </c>
      <c r="G80" s="8" t="s">
        <v>761</v>
      </c>
      <c r="H80" s="7" t="s">
        <v>768</v>
      </c>
      <c r="I80" s="7" t="s">
        <v>104</v>
      </c>
      <c r="J80" s="47" t="s">
        <v>769</v>
      </c>
      <c r="K80" s="8" t="s">
        <v>770</v>
      </c>
      <c r="L80" s="7" t="s">
        <v>67</v>
      </c>
      <c r="M80" s="7" t="s">
        <v>118</v>
      </c>
      <c r="N80" s="7" t="s">
        <v>69</v>
      </c>
      <c r="O80" s="7" t="s">
        <v>1079</v>
      </c>
      <c r="P80" s="7" t="s">
        <v>1079</v>
      </c>
      <c r="Q80" s="7" t="s">
        <v>1079</v>
      </c>
      <c r="R80" s="7" t="s">
        <v>137</v>
      </c>
      <c r="S80" s="7" t="s">
        <v>771</v>
      </c>
      <c r="T80" s="7" t="s">
        <v>104</v>
      </c>
      <c r="U80" s="7" t="s">
        <v>74</v>
      </c>
      <c r="V80" s="7" t="s">
        <v>70</v>
      </c>
      <c r="W80" s="7" t="s">
        <v>70</v>
      </c>
      <c r="X80" s="7" t="s">
        <v>70</v>
      </c>
      <c r="Y80" s="11">
        <v>120000</v>
      </c>
      <c r="Z80" s="11">
        <f t="shared" si="7"/>
        <v>10000</v>
      </c>
      <c r="AA80" s="45" t="s">
        <v>143</v>
      </c>
      <c r="AB80" s="17" t="s">
        <v>104</v>
      </c>
      <c r="AC80" s="17" t="s">
        <v>104</v>
      </c>
      <c r="AD80" s="7" t="s">
        <v>358</v>
      </c>
      <c r="AE80" s="7" t="s">
        <v>76</v>
      </c>
      <c r="AF80" s="7" t="s">
        <v>742</v>
      </c>
      <c r="AG80" s="14" t="s">
        <v>104</v>
      </c>
      <c r="AH80" s="14" t="s">
        <v>104</v>
      </c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</row>
    <row r="81" spans="1:188" ht="15.75" customHeight="1" x14ac:dyDescent="0.35">
      <c r="A81" s="5" t="s">
        <v>772</v>
      </c>
      <c r="B81" s="29" t="s">
        <v>58</v>
      </c>
      <c r="C81" s="7">
        <v>80</v>
      </c>
      <c r="D81" s="7" t="s">
        <v>104</v>
      </c>
      <c r="E81" s="14" t="s">
        <v>143</v>
      </c>
      <c r="F81" s="8" t="s">
        <v>773</v>
      </c>
      <c r="G81" s="8" t="s">
        <v>774</v>
      </c>
      <c r="H81" s="7" t="s">
        <v>775</v>
      </c>
      <c r="I81" s="7" t="s">
        <v>104</v>
      </c>
      <c r="J81" s="47" t="s">
        <v>776</v>
      </c>
      <c r="K81" s="8"/>
      <c r="L81" s="7" t="s">
        <v>67</v>
      </c>
      <c r="M81" s="7" t="s">
        <v>104</v>
      </c>
      <c r="N81" s="7" t="s">
        <v>69</v>
      </c>
      <c r="O81" s="7" t="s">
        <v>1079</v>
      </c>
      <c r="P81" s="7" t="s">
        <v>1079</v>
      </c>
      <c r="Q81" s="7" t="s">
        <v>1079</v>
      </c>
      <c r="R81" s="7" t="s">
        <v>777</v>
      </c>
      <c r="S81" s="7" t="s">
        <v>104</v>
      </c>
      <c r="T81" s="7" t="s">
        <v>104</v>
      </c>
      <c r="U81" s="7" t="s">
        <v>74</v>
      </c>
      <c r="V81" s="7" t="s">
        <v>70</v>
      </c>
      <c r="W81" s="7" t="s">
        <v>70</v>
      </c>
      <c r="X81" s="7" t="s">
        <v>70</v>
      </c>
      <c r="Y81" s="11">
        <f>28000*12</f>
        <v>336000</v>
      </c>
      <c r="Z81" s="11">
        <v>28000</v>
      </c>
      <c r="AA81" s="45" t="s">
        <v>143</v>
      </c>
      <c r="AB81" s="17" t="s">
        <v>104</v>
      </c>
      <c r="AC81" s="17" t="s">
        <v>104</v>
      </c>
      <c r="AD81" s="7" t="s">
        <v>358</v>
      </c>
      <c r="AE81" s="7" t="s">
        <v>76</v>
      </c>
      <c r="AF81" s="7" t="s">
        <v>742</v>
      </c>
      <c r="AG81" s="14" t="s">
        <v>104</v>
      </c>
      <c r="AH81" s="14" t="s">
        <v>104</v>
      </c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</row>
    <row r="82" spans="1:188" ht="15.75" customHeight="1" x14ac:dyDescent="0.35">
      <c r="A82" s="5" t="s">
        <v>772</v>
      </c>
      <c r="B82" s="29" t="s">
        <v>58</v>
      </c>
      <c r="C82" s="7">
        <v>81</v>
      </c>
      <c r="D82" s="7" t="s">
        <v>778</v>
      </c>
      <c r="E82" s="11" t="s">
        <v>779</v>
      </c>
      <c r="F82" s="8" t="s">
        <v>780</v>
      </c>
      <c r="G82" s="8" t="s">
        <v>781</v>
      </c>
      <c r="H82" s="7"/>
      <c r="I82" s="7" t="s">
        <v>104</v>
      </c>
      <c r="J82" s="47" t="s">
        <v>782</v>
      </c>
      <c r="K82" s="8" t="s">
        <v>783</v>
      </c>
      <c r="L82" s="7" t="s">
        <v>690</v>
      </c>
      <c r="M82" s="7" t="s">
        <v>391</v>
      </c>
      <c r="N82" s="7" t="s">
        <v>70</v>
      </c>
      <c r="O82" s="7" t="s">
        <v>1079</v>
      </c>
      <c r="P82" s="7" t="s">
        <v>1079</v>
      </c>
      <c r="Q82" s="7" t="s">
        <v>1079</v>
      </c>
      <c r="R82" s="7" t="s">
        <v>784</v>
      </c>
      <c r="S82" s="7" t="s">
        <v>562</v>
      </c>
      <c r="T82" s="7" t="s">
        <v>785</v>
      </c>
      <c r="U82" s="7" t="s">
        <v>74</v>
      </c>
      <c r="V82" s="7" t="s">
        <v>140</v>
      </c>
      <c r="W82" s="7" t="s">
        <v>74</v>
      </c>
      <c r="X82" s="7" t="s">
        <v>70</v>
      </c>
      <c r="Y82" s="11" t="s">
        <v>786</v>
      </c>
      <c r="Z82" s="11" t="s">
        <v>787</v>
      </c>
      <c r="AA82" s="45" t="s">
        <v>143</v>
      </c>
      <c r="AB82" s="17" t="s">
        <v>104</v>
      </c>
      <c r="AC82" s="17" t="s">
        <v>104</v>
      </c>
      <c r="AD82" s="7" t="s">
        <v>358</v>
      </c>
      <c r="AE82" s="7" t="s">
        <v>76</v>
      </c>
      <c r="AF82" s="7" t="s">
        <v>742</v>
      </c>
      <c r="AG82" s="14" t="s">
        <v>104</v>
      </c>
      <c r="AH82" s="14" t="s">
        <v>104</v>
      </c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</row>
    <row r="83" spans="1:188" ht="15.75" customHeight="1" x14ac:dyDescent="0.35">
      <c r="A83" s="5" t="s">
        <v>788</v>
      </c>
      <c r="B83" s="29"/>
      <c r="C83" s="7">
        <v>82</v>
      </c>
      <c r="D83" s="7" t="s">
        <v>375</v>
      </c>
      <c r="E83" s="7" t="s">
        <v>789</v>
      </c>
      <c r="F83" s="8" t="s">
        <v>788</v>
      </c>
      <c r="G83" s="8" t="s">
        <v>790</v>
      </c>
      <c r="H83" s="7"/>
      <c r="I83" s="7"/>
      <c r="J83" s="47" t="s">
        <v>791</v>
      </c>
      <c r="K83" s="8" t="s">
        <v>792</v>
      </c>
      <c r="L83" s="7" t="s">
        <v>67</v>
      </c>
      <c r="M83" s="7" t="s">
        <v>793</v>
      </c>
      <c r="N83" s="7" t="s">
        <v>69</v>
      </c>
      <c r="O83" s="7" t="s">
        <v>1079</v>
      </c>
      <c r="P83" s="7" t="s">
        <v>1079</v>
      </c>
      <c r="Q83" s="7" t="s">
        <v>1079</v>
      </c>
      <c r="R83" s="7" t="s">
        <v>71</v>
      </c>
      <c r="S83" s="58">
        <v>45809</v>
      </c>
      <c r="T83" s="7" t="s">
        <v>794</v>
      </c>
      <c r="U83" s="7" t="s">
        <v>795</v>
      </c>
      <c r="V83" s="7"/>
      <c r="W83" s="7" t="s">
        <v>796</v>
      </c>
      <c r="X83" s="7" t="s">
        <v>70</v>
      </c>
      <c r="Y83" s="11">
        <v>240000</v>
      </c>
      <c r="Z83" s="11">
        <v>20000</v>
      </c>
      <c r="AA83" s="45"/>
      <c r="AB83" s="17"/>
      <c r="AC83" s="17"/>
      <c r="AD83" s="7"/>
      <c r="AE83" s="7"/>
      <c r="AF83" s="7"/>
      <c r="AG83" s="14"/>
      <c r="AH83" s="14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12"/>
      <c r="BH83" s="12"/>
      <c r="BI83" s="12"/>
      <c r="BJ83" s="12"/>
      <c r="BK83" s="12"/>
      <c r="BL83" s="12"/>
      <c r="BM83" s="12"/>
      <c r="BN83" s="12"/>
      <c r="BO83" s="12"/>
      <c r="BP83" s="12"/>
      <c r="BQ83" s="12"/>
      <c r="BR83" s="12"/>
      <c r="BS83" s="12"/>
      <c r="BT83" s="12"/>
      <c r="BU83" s="12"/>
      <c r="BV83" s="12"/>
      <c r="BW83" s="12"/>
      <c r="BX83" s="12"/>
      <c r="BY83" s="12"/>
      <c r="BZ83" s="12"/>
      <c r="CA83" s="12"/>
      <c r="CB83" s="12"/>
      <c r="CC83" s="12"/>
      <c r="CD83" s="12"/>
      <c r="CE83" s="12"/>
      <c r="CF83" s="12"/>
      <c r="CG83" s="12"/>
      <c r="CH83" s="12"/>
      <c r="CI83" s="12"/>
      <c r="CJ83" s="12"/>
      <c r="CK83" s="12"/>
      <c r="CL83" s="12"/>
      <c r="CM83" s="12"/>
      <c r="CN83" s="12"/>
      <c r="CO83" s="12"/>
      <c r="CP83" s="12"/>
      <c r="CQ83" s="12"/>
      <c r="CR83" s="12"/>
      <c r="CS83" s="12"/>
      <c r="CT83" s="12"/>
      <c r="CU83" s="12"/>
      <c r="CV83" s="12"/>
      <c r="CW83" s="12"/>
      <c r="CX83" s="12"/>
      <c r="CY83" s="12"/>
      <c r="CZ83" s="12"/>
      <c r="DA83" s="12"/>
      <c r="DB83" s="12"/>
      <c r="DC83" s="12"/>
      <c r="DD83" s="12"/>
      <c r="DE83" s="12"/>
      <c r="DF83" s="12"/>
      <c r="DG83" s="12"/>
      <c r="DH83" s="12"/>
      <c r="DI83" s="12"/>
      <c r="DJ83" s="12"/>
      <c r="DK83" s="12"/>
      <c r="DL83" s="12"/>
      <c r="DM83" s="12"/>
      <c r="DN83" s="12"/>
      <c r="DO83" s="12"/>
      <c r="DP83" s="12"/>
      <c r="DQ83" s="12"/>
      <c r="DR83" s="12"/>
      <c r="DS83" s="12"/>
      <c r="DT83" s="12"/>
      <c r="DU83" s="12"/>
      <c r="DV83" s="12"/>
      <c r="DW83" s="12"/>
      <c r="DX83" s="12"/>
      <c r="DY83" s="12"/>
      <c r="DZ83" s="12"/>
      <c r="EA83" s="12"/>
      <c r="EB83" s="12"/>
      <c r="EC83" s="12"/>
      <c r="ED83" s="12"/>
      <c r="EE83" s="12"/>
      <c r="EF83" s="12"/>
      <c r="EG83" s="12"/>
      <c r="EH83" s="12"/>
      <c r="EI83" s="12"/>
      <c r="EJ83" s="12"/>
      <c r="EK83" s="12"/>
      <c r="EL83" s="12"/>
      <c r="EM83" s="12"/>
      <c r="EN83" s="12"/>
      <c r="EO83" s="12"/>
      <c r="EP83" s="12"/>
      <c r="EQ83" s="12"/>
      <c r="ER83" s="12"/>
      <c r="ES83" s="12"/>
      <c r="ET83" s="12"/>
      <c r="EU83" s="12"/>
      <c r="EV83" s="12"/>
      <c r="EW83" s="12"/>
      <c r="EX83" s="12"/>
      <c r="EY83" s="12"/>
      <c r="EZ83" s="12"/>
      <c r="FA83" s="12"/>
      <c r="FB83" s="12"/>
      <c r="FC83" s="12"/>
      <c r="FD83" s="12"/>
      <c r="FE83" s="12"/>
      <c r="FF83" s="12"/>
      <c r="FG83" s="12"/>
      <c r="FH83" s="12"/>
      <c r="FI83" s="12"/>
      <c r="FJ83" s="12"/>
      <c r="FK83" s="12"/>
      <c r="FL83" s="12"/>
      <c r="FM83" s="12"/>
      <c r="FN83" s="12"/>
      <c r="FO83" s="12"/>
      <c r="FP83" s="12"/>
      <c r="FQ83" s="12"/>
      <c r="FR83" s="12"/>
      <c r="FS83" s="12"/>
      <c r="FT83" s="12"/>
      <c r="FU83" s="12"/>
      <c r="FV83" s="12"/>
      <c r="FW83" s="12"/>
      <c r="FX83" s="12"/>
      <c r="FY83" s="12"/>
      <c r="FZ83" s="12"/>
      <c r="GA83" s="12"/>
      <c r="GB83" s="12"/>
      <c r="GC83" s="12"/>
      <c r="GD83" s="12"/>
      <c r="GE83" s="12"/>
      <c r="GF83" s="12"/>
    </row>
    <row r="84" spans="1:188" ht="15.75" customHeight="1" x14ac:dyDescent="0.35">
      <c r="A84" s="5" t="s">
        <v>797</v>
      </c>
      <c r="B84" s="29"/>
      <c r="C84" s="7">
        <v>83</v>
      </c>
      <c r="D84" s="7" t="s">
        <v>764</v>
      </c>
      <c r="E84" s="7" t="s">
        <v>798</v>
      </c>
      <c r="F84" s="8" t="s">
        <v>797</v>
      </c>
      <c r="G84" s="8"/>
      <c r="H84" s="7" t="s">
        <v>799</v>
      </c>
      <c r="I84" s="7" t="s">
        <v>800</v>
      </c>
      <c r="J84" s="47" t="s">
        <v>801</v>
      </c>
      <c r="K84" s="8" t="s">
        <v>802</v>
      </c>
      <c r="L84" s="7" t="s">
        <v>67</v>
      </c>
      <c r="M84" s="7" t="s">
        <v>100</v>
      </c>
      <c r="N84" s="7" t="s">
        <v>69</v>
      </c>
      <c r="O84" s="7" t="s">
        <v>1079</v>
      </c>
      <c r="P84" s="7" t="s">
        <v>1079</v>
      </c>
      <c r="Q84" s="7" t="s">
        <v>1079</v>
      </c>
      <c r="R84" s="7" t="s">
        <v>71</v>
      </c>
      <c r="S84" s="7"/>
      <c r="T84" s="7" t="s">
        <v>803</v>
      </c>
      <c r="U84" s="7" t="s">
        <v>74</v>
      </c>
      <c r="V84" s="7"/>
      <c r="W84" s="14" t="s">
        <v>143</v>
      </c>
      <c r="X84" s="7" t="s">
        <v>70</v>
      </c>
      <c r="Y84" s="11">
        <v>12000</v>
      </c>
      <c r="Z84" s="11">
        <v>6000</v>
      </c>
      <c r="AA84" s="45" t="s">
        <v>804</v>
      </c>
      <c r="AB84" s="17" t="s">
        <v>805</v>
      </c>
      <c r="AC84" s="11" t="s">
        <v>70</v>
      </c>
      <c r="AD84" s="7" t="s">
        <v>70</v>
      </c>
      <c r="AE84" s="7"/>
      <c r="AF84" s="7"/>
      <c r="AG84" s="14"/>
      <c r="AH84" s="14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12"/>
      <c r="BH84" s="12"/>
      <c r="BI84" s="12"/>
      <c r="BJ84" s="12"/>
      <c r="BK84" s="12"/>
      <c r="BL84" s="12"/>
      <c r="BM84" s="12"/>
      <c r="BN84" s="12"/>
      <c r="BO84" s="12"/>
      <c r="BP84" s="12"/>
      <c r="BQ84" s="12"/>
      <c r="BR84" s="12"/>
      <c r="BS84" s="12"/>
      <c r="BT84" s="12"/>
      <c r="BU84" s="12"/>
      <c r="BV84" s="12"/>
      <c r="BW84" s="12"/>
      <c r="BX84" s="12"/>
      <c r="BY84" s="12"/>
      <c r="BZ84" s="12"/>
      <c r="CA84" s="12"/>
      <c r="CB84" s="12"/>
      <c r="CC84" s="12"/>
      <c r="CD84" s="12"/>
      <c r="CE84" s="12"/>
      <c r="CF84" s="12"/>
      <c r="CG84" s="12"/>
      <c r="CH84" s="12"/>
      <c r="CI84" s="12"/>
      <c r="CJ84" s="12"/>
      <c r="CK84" s="12"/>
      <c r="CL84" s="12"/>
      <c r="CM84" s="12"/>
      <c r="CN84" s="12"/>
      <c r="CO84" s="12"/>
      <c r="CP84" s="12"/>
      <c r="CQ84" s="12"/>
      <c r="CR84" s="12"/>
      <c r="CS84" s="12"/>
      <c r="CT84" s="12"/>
      <c r="CU84" s="12"/>
      <c r="CV84" s="12"/>
      <c r="CW84" s="12"/>
      <c r="CX84" s="12"/>
      <c r="CY84" s="12"/>
      <c r="CZ84" s="12"/>
      <c r="DA84" s="12"/>
      <c r="DB84" s="12"/>
      <c r="DC84" s="12"/>
      <c r="DD84" s="12"/>
      <c r="DE84" s="12"/>
      <c r="DF84" s="12"/>
      <c r="DG84" s="12"/>
      <c r="DH84" s="12"/>
      <c r="DI84" s="12"/>
      <c r="DJ84" s="12"/>
      <c r="DK84" s="12"/>
      <c r="DL84" s="12"/>
      <c r="DM84" s="12"/>
      <c r="DN84" s="12"/>
      <c r="DO84" s="12"/>
      <c r="DP84" s="12"/>
      <c r="DQ84" s="12"/>
      <c r="DR84" s="12"/>
      <c r="DS84" s="12"/>
      <c r="DT84" s="12"/>
      <c r="DU84" s="12"/>
      <c r="DV84" s="12"/>
      <c r="DW84" s="12"/>
      <c r="DX84" s="12"/>
      <c r="DY84" s="12"/>
      <c r="DZ84" s="12"/>
      <c r="EA84" s="12"/>
      <c r="EB84" s="12"/>
      <c r="EC84" s="12"/>
      <c r="ED84" s="12"/>
      <c r="EE84" s="12"/>
      <c r="EF84" s="12"/>
      <c r="EG84" s="12"/>
      <c r="EH84" s="12"/>
      <c r="EI84" s="12"/>
      <c r="EJ84" s="12"/>
      <c r="EK84" s="12"/>
      <c r="EL84" s="12"/>
      <c r="EM84" s="12"/>
      <c r="EN84" s="12"/>
      <c r="EO84" s="12"/>
      <c r="EP84" s="12"/>
      <c r="EQ84" s="12"/>
      <c r="ER84" s="12"/>
      <c r="ES84" s="12"/>
      <c r="ET84" s="12"/>
      <c r="EU84" s="12"/>
      <c r="EV84" s="12"/>
      <c r="EW84" s="12"/>
      <c r="EX84" s="12"/>
      <c r="EY84" s="12"/>
      <c r="EZ84" s="12"/>
      <c r="FA84" s="12"/>
      <c r="FB84" s="12"/>
      <c r="FC84" s="12"/>
      <c r="FD84" s="12"/>
      <c r="FE84" s="12"/>
      <c r="FF84" s="12"/>
      <c r="FG84" s="12"/>
      <c r="FH84" s="12"/>
      <c r="FI84" s="12"/>
      <c r="FJ84" s="12"/>
      <c r="FK84" s="12"/>
      <c r="FL84" s="12"/>
      <c r="FM84" s="12"/>
      <c r="FN84" s="12"/>
      <c r="FO84" s="12"/>
      <c r="FP84" s="12"/>
      <c r="FQ84" s="12"/>
      <c r="FR84" s="12"/>
      <c r="FS84" s="12"/>
      <c r="FT84" s="12"/>
      <c r="FU84" s="12"/>
      <c r="FV84" s="12"/>
      <c r="FW84" s="12"/>
      <c r="FX84" s="12"/>
      <c r="FY84" s="12"/>
      <c r="FZ84" s="12"/>
      <c r="GA84" s="12"/>
      <c r="GB84" s="12"/>
      <c r="GC84" s="12"/>
      <c r="GD84" s="12"/>
      <c r="GE84" s="12"/>
      <c r="GF84" s="12"/>
    </row>
    <row r="85" spans="1:188" ht="15.75" customHeight="1" x14ac:dyDescent="0.35">
      <c r="A85" s="5" t="s">
        <v>806</v>
      </c>
      <c r="B85" s="29"/>
      <c r="C85" s="7">
        <v>84</v>
      </c>
      <c r="D85" s="7" t="s">
        <v>807</v>
      </c>
      <c r="E85" s="7" t="s">
        <v>808</v>
      </c>
      <c r="F85" s="8" t="s">
        <v>809</v>
      </c>
      <c r="G85" s="8"/>
      <c r="H85" s="7" t="s">
        <v>810</v>
      </c>
      <c r="I85" s="7" t="s">
        <v>811</v>
      </c>
      <c r="J85" s="47" t="s">
        <v>812</v>
      </c>
      <c r="K85" s="8" t="s">
        <v>813</v>
      </c>
      <c r="L85" s="7" t="s">
        <v>67</v>
      </c>
      <c r="M85" s="7" t="s">
        <v>722</v>
      </c>
      <c r="N85" s="7" t="s">
        <v>69</v>
      </c>
      <c r="O85" s="7" t="s">
        <v>1079</v>
      </c>
      <c r="P85" s="7" t="s">
        <v>1079</v>
      </c>
      <c r="Q85" s="7" t="s">
        <v>1079</v>
      </c>
      <c r="R85" s="7" t="s">
        <v>814</v>
      </c>
      <c r="S85" s="58">
        <v>45809</v>
      </c>
      <c r="T85" s="7" t="s">
        <v>815</v>
      </c>
      <c r="U85" s="7" t="s">
        <v>795</v>
      </c>
      <c r="V85" s="7" t="s">
        <v>70</v>
      </c>
      <c r="W85" s="7" t="s">
        <v>795</v>
      </c>
      <c r="X85" s="59" t="s">
        <v>70</v>
      </c>
      <c r="Y85" s="11"/>
      <c r="Z85" s="11">
        <v>350000</v>
      </c>
      <c r="AA85" s="11">
        <v>350000</v>
      </c>
      <c r="AB85" s="17" t="s">
        <v>816</v>
      </c>
      <c r="AC85" s="17" t="s">
        <v>70</v>
      </c>
      <c r="AD85" s="7" t="s">
        <v>70</v>
      </c>
      <c r="AE85" s="7" t="s">
        <v>70</v>
      </c>
      <c r="AF85" s="7"/>
      <c r="AG85" s="14"/>
      <c r="AH85" s="14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12"/>
      <c r="BH85" s="12"/>
      <c r="BI85" s="12"/>
      <c r="BJ85" s="12"/>
      <c r="BK85" s="12"/>
      <c r="BL85" s="12"/>
      <c r="BM85" s="12"/>
      <c r="BN85" s="12"/>
      <c r="BO85" s="12"/>
      <c r="BP85" s="12"/>
      <c r="BQ85" s="12"/>
      <c r="BR85" s="12"/>
      <c r="BS85" s="12"/>
      <c r="BT85" s="12"/>
      <c r="BU85" s="12"/>
      <c r="BV85" s="12"/>
      <c r="BW85" s="12"/>
      <c r="BX85" s="12"/>
      <c r="BY85" s="12"/>
      <c r="BZ85" s="12"/>
      <c r="CA85" s="12"/>
      <c r="CB85" s="12"/>
      <c r="CC85" s="12"/>
      <c r="CD85" s="12"/>
      <c r="CE85" s="12"/>
      <c r="CF85" s="12"/>
      <c r="CG85" s="12"/>
      <c r="CH85" s="12"/>
      <c r="CI85" s="12"/>
      <c r="CJ85" s="12"/>
      <c r="CK85" s="12"/>
      <c r="CL85" s="12"/>
      <c r="CM85" s="12"/>
      <c r="CN85" s="12"/>
      <c r="CO85" s="12"/>
      <c r="CP85" s="12"/>
      <c r="CQ85" s="12"/>
      <c r="CR85" s="12"/>
      <c r="CS85" s="12"/>
      <c r="CT85" s="12"/>
      <c r="CU85" s="12"/>
      <c r="CV85" s="12"/>
      <c r="CW85" s="12"/>
      <c r="CX85" s="12"/>
      <c r="CY85" s="12"/>
      <c r="CZ85" s="12"/>
      <c r="DA85" s="12"/>
      <c r="DB85" s="12"/>
      <c r="DC85" s="12"/>
      <c r="DD85" s="12"/>
      <c r="DE85" s="12"/>
      <c r="DF85" s="12"/>
      <c r="DG85" s="12"/>
      <c r="DH85" s="12"/>
      <c r="DI85" s="12"/>
      <c r="DJ85" s="12"/>
      <c r="DK85" s="12"/>
      <c r="DL85" s="12"/>
      <c r="DM85" s="12"/>
      <c r="DN85" s="12"/>
      <c r="DO85" s="12"/>
      <c r="DP85" s="12"/>
      <c r="DQ85" s="12"/>
      <c r="DR85" s="12"/>
      <c r="DS85" s="12"/>
      <c r="DT85" s="12"/>
      <c r="DU85" s="12"/>
      <c r="DV85" s="12"/>
      <c r="DW85" s="12"/>
      <c r="DX85" s="12"/>
      <c r="DY85" s="12"/>
      <c r="DZ85" s="12"/>
      <c r="EA85" s="12"/>
      <c r="EB85" s="12"/>
      <c r="EC85" s="12"/>
      <c r="ED85" s="12"/>
      <c r="EE85" s="12"/>
      <c r="EF85" s="12"/>
      <c r="EG85" s="12"/>
      <c r="EH85" s="12"/>
      <c r="EI85" s="12"/>
      <c r="EJ85" s="12"/>
      <c r="EK85" s="12"/>
      <c r="EL85" s="12"/>
      <c r="EM85" s="12"/>
      <c r="EN85" s="12"/>
      <c r="EO85" s="12"/>
      <c r="EP85" s="12"/>
      <c r="EQ85" s="12"/>
      <c r="ER85" s="12"/>
      <c r="ES85" s="12"/>
      <c r="ET85" s="12"/>
      <c r="EU85" s="12"/>
      <c r="EV85" s="12"/>
      <c r="EW85" s="12"/>
      <c r="EX85" s="12"/>
      <c r="EY85" s="12"/>
      <c r="EZ85" s="12"/>
      <c r="FA85" s="12"/>
      <c r="FB85" s="12"/>
      <c r="FC85" s="12"/>
      <c r="FD85" s="12"/>
      <c r="FE85" s="12"/>
      <c r="FF85" s="12"/>
      <c r="FG85" s="12"/>
      <c r="FH85" s="12"/>
      <c r="FI85" s="12"/>
      <c r="FJ85" s="12"/>
      <c r="FK85" s="12"/>
      <c r="FL85" s="12"/>
      <c r="FM85" s="12"/>
      <c r="FN85" s="12"/>
      <c r="FO85" s="12"/>
      <c r="FP85" s="12"/>
      <c r="FQ85" s="12"/>
      <c r="FR85" s="12"/>
      <c r="FS85" s="12"/>
      <c r="FT85" s="12"/>
      <c r="FU85" s="12"/>
      <c r="FV85" s="12"/>
      <c r="FW85" s="12"/>
      <c r="FX85" s="12"/>
      <c r="FY85" s="12"/>
      <c r="FZ85" s="12"/>
      <c r="GA85" s="12"/>
      <c r="GB85" s="12"/>
      <c r="GC85" s="12"/>
      <c r="GD85" s="12"/>
      <c r="GE85" s="12"/>
      <c r="GF85" s="12"/>
    </row>
    <row r="86" spans="1:188" ht="15.75" customHeight="1" x14ac:dyDescent="0.35">
      <c r="A86" s="60" t="s">
        <v>817</v>
      </c>
      <c r="B86" s="29" t="s">
        <v>818</v>
      </c>
      <c r="C86" s="7">
        <v>85</v>
      </c>
      <c r="D86" s="7" t="s">
        <v>819</v>
      </c>
      <c r="E86" s="14" t="s">
        <v>143</v>
      </c>
      <c r="F86" s="8" t="s">
        <v>817</v>
      </c>
      <c r="G86" s="8"/>
      <c r="H86" s="7"/>
      <c r="I86" s="7"/>
      <c r="J86" s="47" t="s">
        <v>820</v>
      </c>
      <c r="K86" s="8" t="s">
        <v>821</v>
      </c>
      <c r="L86" s="7" t="s">
        <v>67</v>
      </c>
      <c r="M86" s="7" t="s">
        <v>129</v>
      </c>
      <c r="N86" s="7" t="s">
        <v>69</v>
      </c>
      <c r="O86" s="7" t="s">
        <v>1079</v>
      </c>
      <c r="P86" s="7" t="s">
        <v>1079</v>
      </c>
      <c r="Q86" s="7" t="s">
        <v>1079</v>
      </c>
      <c r="R86" s="7"/>
      <c r="S86" s="58">
        <v>45992</v>
      </c>
      <c r="T86" s="7" t="s">
        <v>822</v>
      </c>
      <c r="U86" s="7" t="s">
        <v>795</v>
      </c>
      <c r="V86" s="7" t="s">
        <v>70</v>
      </c>
      <c r="W86" s="7" t="s">
        <v>795</v>
      </c>
      <c r="X86" s="7" t="s">
        <v>70</v>
      </c>
      <c r="Y86" s="11"/>
      <c r="Z86" s="11"/>
      <c r="AA86" s="45"/>
      <c r="AB86" s="17"/>
      <c r="AC86" s="17"/>
      <c r="AD86" s="7"/>
      <c r="AE86" s="7"/>
      <c r="AF86" s="7"/>
      <c r="AG86" s="14"/>
      <c r="AH86" s="14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12"/>
      <c r="BH86" s="12"/>
      <c r="BI86" s="12"/>
      <c r="BJ86" s="12"/>
      <c r="BK86" s="12"/>
      <c r="BL86" s="12"/>
      <c r="BM86" s="12"/>
      <c r="BN86" s="12"/>
      <c r="BO86" s="12"/>
      <c r="BP86" s="12"/>
      <c r="BQ86" s="12"/>
      <c r="BR86" s="12"/>
      <c r="BS86" s="12"/>
      <c r="BT86" s="12"/>
      <c r="BU86" s="12"/>
      <c r="BV86" s="12"/>
      <c r="BW86" s="12"/>
      <c r="BX86" s="12"/>
      <c r="BY86" s="12"/>
      <c r="BZ86" s="12"/>
      <c r="CA86" s="12"/>
      <c r="CB86" s="12"/>
      <c r="CC86" s="12"/>
      <c r="CD86" s="12"/>
      <c r="CE86" s="12"/>
      <c r="CF86" s="12"/>
      <c r="CG86" s="12"/>
      <c r="CH86" s="12"/>
      <c r="CI86" s="12"/>
      <c r="CJ86" s="12"/>
      <c r="CK86" s="12"/>
      <c r="CL86" s="12"/>
      <c r="CM86" s="12"/>
      <c r="CN86" s="12"/>
      <c r="CO86" s="12"/>
      <c r="CP86" s="12"/>
      <c r="CQ86" s="12"/>
      <c r="CR86" s="12"/>
      <c r="CS86" s="12"/>
      <c r="CT86" s="12"/>
      <c r="CU86" s="12"/>
      <c r="CV86" s="12"/>
      <c r="CW86" s="12"/>
      <c r="CX86" s="12"/>
      <c r="CY86" s="12"/>
      <c r="CZ86" s="12"/>
      <c r="DA86" s="12"/>
      <c r="DB86" s="12"/>
      <c r="DC86" s="12"/>
      <c r="DD86" s="12"/>
      <c r="DE86" s="12"/>
      <c r="DF86" s="12"/>
      <c r="DG86" s="12"/>
      <c r="DH86" s="12"/>
      <c r="DI86" s="12"/>
      <c r="DJ86" s="12"/>
      <c r="DK86" s="12"/>
      <c r="DL86" s="12"/>
      <c r="DM86" s="12"/>
      <c r="DN86" s="12"/>
      <c r="DO86" s="12"/>
      <c r="DP86" s="12"/>
      <c r="DQ86" s="12"/>
      <c r="DR86" s="12"/>
      <c r="DS86" s="12"/>
      <c r="DT86" s="12"/>
      <c r="DU86" s="12"/>
      <c r="DV86" s="12"/>
      <c r="DW86" s="12"/>
      <c r="DX86" s="12"/>
      <c r="DY86" s="12"/>
      <c r="DZ86" s="12"/>
      <c r="EA86" s="12"/>
      <c r="EB86" s="12"/>
      <c r="EC86" s="12"/>
      <c r="ED86" s="12"/>
      <c r="EE86" s="12"/>
      <c r="EF86" s="12"/>
      <c r="EG86" s="12"/>
      <c r="EH86" s="12"/>
      <c r="EI86" s="12"/>
      <c r="EJ86" s="12"/>
      <c r="EK86" s="12"/>
      <c r="EL86" s="12"/>
      <c r="EM86" s="12"/>
      <c r="EN86" s="12"/>
      <c r="EO86" s="12"/>
      <c r="EP86" s="12"/>
      <c r="EQ86" s="12"/>
      <c r="ER86" s="12"/>
      <c r="ES86" s="12"/>
      <c r="ET86" s="12"/>
      <c r="EU86" s="12"/>
      <c r="EV86" s="12"/>
      <c r="EW86" s="12"/>
      <c r="EX86" s="12"/>
      <c r="EY86" s="12"/>
      <c r="EZ86" s="12"/>
      <c r="FA86" s="12"/>
      <c r="FB86" s="12"/>
      <c r="FC86" s="12"/>
      <c r="FD86" s="12"/>
      <c r="FE86" s="12"/>
      <c r="FF86" s="12"/>
      <c r="FG86" s="12"/>
      <c r="FH86" s="12"/>
      <c r="FI86" s="12"/>
      <c r="FJ86" s="12"/>
      <c r="FK86" s="12"/>
      <c r="FL86" s="12"/>
      <c r="FM86" s="12"/>
      <c r="FN86" s="12"/>
      <c r="FO86" s="12"/>
      <c r="FP86" s="12"/>
      <c r="FQ86" s="12"/>
      <c r="FR86" s="12"/>
      <c r="FS86" s="12"/>
      <c r="FT86" s="12"/>
      <c r="FU86" s="12"/>
      <c r="FV86" s="12"/>
      <c r="FW86" s="12"/>
      <c r="FX86" s="12"/>
      <c r="FY86" s="12"/>
      <c r="FZ86" s="12"/>
      <c r="GA86" s="12"/>
      <c r="GB86" s="12"/>
      <c r="GC86" s="12"/>
      <c r="GD86" s="12"/>
      <c r="GE86" s="12"/>
      <c r="GF86" s="12"/>
    </row>
    <row r="87" spans="1:188" ht="15.75" customHeight="1" x14ac:dyDescent="0.35">
      <c r="A87" s="5" t="s">
        <v>823</v>
      </c>
      <c r="B87" s="29"/>
      <c r="C87" s="7">
        <v>86</v>
      </c>
      <c r="D87" s="7" t="s">
        <v>366</v>
      </c>
      <c r="E87" s="7" t="s">
        <v>824</v>
      </c>
      <c r="F87" s="8" t="s">
        <v>825</v>
      </c>
      <c r="G87" s="8"/>
      <c r="H87" s="7" t="s">
        <v>826</v>
      </c>
      <c r="I87" s="7" t="s">
        <v>827</v>
      </c>
      <c r="J87" s="47" t="s">
        <v>828</v>
      </c>
      <c r="K87" s="8" t="s">
        <v>829</v>
      </c>
      <c r="L87" s="7" t="s">
        <v>690</v>
      </c>
      <c r="M87" s="7" t="s">
        <v>68</v>
      </c>
      <c r="N87" s="7" t="s">
        <v>70</v>
      </c>
      <c r="O87" s="7" t="s">
        <v>1079</v>
      </c>
      <c r="P87" s="7"/>
      <c r="Q87" s="7" t="s">
        <v>1079</v>
      </c>
      <c r="R87" s="7" t="s">
        <v>740</v>
      </c>
      <c r="S87" s="58">
        <v>45839</v>
      </c>
      <c r="T87" s="7" t="s">
        <v>830</v>
      </c>
      <c r="U87" s="7"/>
      <c r="V87" s="7"/>
      <c r="W87" s="7"/>
      <c r="X87" s="7"/>
      <c r="Y87" s="61">
        <v>1993865</v>
      </c>
      <c r="Z87" s="61"/>
      <c r="AA87" s="45"/>
      <c r="AB87" s="17"/>
      <c r="AC87" s="17"/>
      <c r="AD87" s="7"/>
      <c r="AE87" s="7"/>
      <c r="AF87" s="7"/>
      <c r="AG87" s="14"/>
      <c r="AH87" s="14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12"/>
      <c r="BH87" s="12"/>
      <c r="BI87" s="12"/>
      <c r="BJ87" s="12"/>
      <c r="BK87" s="12"/>
      <c r="BL87" s="12"/>
      <c r="BM87" s="12"/>
      <c r="BN87" s="12"/>
      <c r="BO87" s="12"/>
      <c r="BP87" s="12"/>
      <c r="BQ87" s="12"/>
      <c r="BR87" s="12"/>
      <c r="BS87" s="12"/>
      <c r="BT87" s="12"/>
      <c r="BU87" s="12"/>
      <c r="BV87" s="12"/>
      <c r="BW87" s="12"/>
      <c r="BX87" s="12"/>
      <c r="BY87" s="12"/>
      <c r="BZ87" s="12"/>
      <c r="CA87" s="12"/>
      <c r="CB87" s="12"/>
      <c r="CC87" s="12"/>
      <c r="CD87" s="12"/>
      <c r="CE87" s="12"/>
      <c r="CF87" s="12"/>
      <c r="CG87" s="12"/>
      <c r="CH87" s="12"/>
      <c r="CI87" s="12"/>
      <c r="CJ87" s="12"/>
      <c r="CK87" s="12"/>
      <c r="CL87" s="12"/>
      <c r="CM87" s="12"/>
      <c r="CN87" s="12"/>
      <c r="CO87" s="12"/>
      <c r="CP87" s="12"/>
      <c r="CQ87" s="12"/>
      <c r="CR87" s="12"/>
      <c r="CS87" s="12"/>
      <c r="CT87" s="12"/>
      <c r="CU87" s="12"/>
      <c r="CV87" s="12"/>
      <c r="CW87" s="12"/>
      <c r="CX87" s="12"/>
      <c r="CY87" s="12"/>
      <c r="CZ87" s="12"/>
      <c r="DA87" s="12"/>
      <c r="DB87" s="12"/>
      <c r="DC87" s="12"/>
      <c r="DD87" s="12"/>
      <c r="DE87" s="12"/>
      <c r="DF87" s="12"/>
      <c r="DG87" s="12"/>
      <c r="DH87" s="12"/>
      <c r="DI87" s="12"/>
      <c r="DJ87" s="12"/>
      <c r="DK87" s="12"/>
      <c r="DL87" s="12"/>
      <c r="DM87" s="12"/>
      <c r="DN87" s="12"/>
      <c r="DO87" s="12"/>
      <c r="DP87" s="12"/>
      <c r="DQ87" s="12"/>
      <c r="DR87" s="12"/>
      <c r="DS87" s="12"/>
      <c r="DT87" s="12"/>
      <c r="DU87" s="12"/>
      <c r="DV87" s="12"/>
      <c r="DW87" s="12"/>
      <c r="DX87" s="12"/>
      <c r="DY87" s="12"/>
      <c r="DZ87" s="12"/>
      <c r="EA87" s="12"/>
      <c r="EB87" s="12"/>
      <c r="EC87" s="12"/>
      <c r="ED87" s="12"/>
      <c r="EE87" s="12"/>
      <c r="EF87" s="12"/>
      <c r="EG87" s="12"/>
      <c r="EH87" s="12"/>
      <c r="EI87" s="12"/>
      <c r="EJ87" s="12"/>
      <c r="EK87" s="12"/>
      <c r="EL87" s="12"/>
      <c r="EM87" s="12"/>
      <c r="EN87" s="12"/>
      <c r="EO87" s="12"/>
      <c r="EP87" s="12"/>
      <c r="EQ87" s="12"/>
      <c r="ER87" s="12"/>
      <c r="ES87" s="12"/>
      <c r="ET87" s="12"/>
      <c r="EU87" s="12"/>
      <c r="EV87" s="12"/>
      <c r="EW87" s="12"/>
      <c r="EX87" s="12"/>
      <c r="EY87" s="12"/>
      <c r="EZ87" s="12"/>
      <c r="FA87" s="12"/>
      <c r="FB87" s="12"/>
      <c r="FC87" s="12"/>
      <c r="FD87" s="12"/>
      <c r="FE87" s="12"/>
      <c r="FF87" s="12"/>
      <c r="FG87" s="12"/>
      <c r="FH87" s="12"/>
      <c r="FI87" s="12"/>
      <c r="FJ87" s="12"/>
      <c r="FK87" s="12"/>
      <c r="FL87" s="12"/>
      <c r="FM87" s="12"/>
      <c r="FN87" s="12"/>
      <c r="FO87" s="12"/>
      <c r="FP87" s="12"/>
      <c r="FQ87" s="12"/>
      <c r="FR87" s="12"/>
      <c r="FS87" s="12"/>
      <c r="FT87" s="12"/>
      <c r="FU87" s="12"/>
      <c r="FV87" s="12"/>
      <c r="FW87" s="12"/>
      <c r="FX87" s="12"/>
      <c r="FY87" s="12"/>
      <c r="FZ87" s="12"/>
      <c r="GA87" s="12"/>
      <c r="GB87" s="12"/>
      <c r="GC87" s="12"/>
      <c r="GD87" s="12"/>
      <c r="GE87" s="12"/>
      <c r="GF87" s="12"/>
    </row>
    <row r="88" spans="1:188" ht="15.75" customHeight="1" x14ac:dyDescent="0.35">
      <c r="A88" s="5" t="s">
        <v>831</v>
      </c>
      <c r="B88" s="29"/>
      <c r="C88" s="7">
        <v>87</v>
      </c>
      <c r="D88" s="7" t="s">
        <v>561</v>
      </c>
      <c r="E88" s="7" t="s">
        <v>832</v>
      </c>
      <c r="F88" s="8" t="s">
        <v>833</v>
      </c>
      <c r="G88" s="8"/>
      <c r="H88" s="7" t="s">
        <v>834</v>
      </c>
      <c r="I88" s="9" t="s">
        <v>835</v>
      </c>
      <c r="J88" s="47" t="s">
        <v>836</v>
      </c>
      <c r="K88" s="8" t="s">
        <v>753</v>
      </c>
      <c r="L88" s="7" t="s">
        <v>690</v>
      </c>
      <c r="M88" s="7" t="s">
        <v>107</v>
      </c>
      <c r="N88" s="7" t="s">
        <v>70</v>
      </c>
      <c r="O88" s="7" t="s">
        <v>1079</v>
      </c>
      <c r="P88" s="62"/>
      <c r="Q88" s="7" t="s">
        <v>1079</v>
      </c>
      <c r="R88" s="7" t="s">
        <v>71</v>
      </c>
      <c r="S88" s="58">
        <v>46054</v>
      </c>
      <c r="T88" s="7" t="s">
        <v>837</v>
      </c>
      <c r="U88" s="7"/>
      <c r="V88" s="7"/>
      <c r="W88" s="7"/>
      <c r="X88" s="7"/>
      <c r="Y88" s="61">
        <v>2586201.7400000002</v>
      </c>
      <c r="Z88" s="61"/>
      <c r="AA88" s="45"/>
      <c r="AB88" s="17"/>
      <c r="AC88" s="17"/>
      <c r="AD88" s="7" t="s">
        <v>838</v>
      </c>
      <c r="AE88" s="7"/>
      <c r="AF88" s="7"/>
      <c r="AG88" s="14"/>
      <c r="AH88" s="14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12"/>
      <c r="BH88" s="12"/>
      <c r="BI88" s="12"/>
      <c r="BJ88" s="12"/>
      <c r="BK88" s="12"/>
      <c r="BL88" s="12"/>
      <c r="BM88" s="12"/>
      <c r="BN88" s="12"/>
      <c r="BO88" s="12"/>
      <c r="BP88" s="12"/>
      <c r="BQ88" s="12"/>
      <c r="BR88" s="12"/>
      <c r="BS88" s="12"/>
      <c r="BT88" s="12"/>
      <c r="BU88" s="12"/>
      <c r="BV88" s="12"/>
      <c r="BW88" s="12"/>
      <c r="BX88" s="12"/>
      <c r="BY88" s="12"/>
      <c r="BZ88" s="12"/>
      <c r="CA88" s="12"/>
      <c r="CB88" s="12"/>
      <c r="CC88" s="12"/>
      <c r="CD88" s="12"/>
      <c r="CE88" s="12"/>
      <c r="CF88" s="12"/>
      <c r="CG88" s="12"/>
      <c r="CH88" s="12"/>
      <c r="CI88" s="12"/>
      <c r="CJ88" s="12"/>
      <c r="CK88" s="12"/>
      <c r="CL88" s="12"/>
      <c r="CM88" s="12"/>
      <c r="CN88" s="12"/>
      <c r="CO88" s="12"/>
      <c r="CP88" s="12"/>
      <c r="CQ88" s="12"/>
      <c r="CR88" s="12"/>
      <c r="CS88" s="12"/>
      <c r="CT88" s="12"/>
      <c r="CU88" s="12"/>
      <c r="CV88" s="12"/>
      <c r="CW88" s="12"/>
      <c r="CX88" s="12"/>
      <c r="CY88" s="12"/>
      <c r="CZ88" s="12"/>
      <c r="DA88" s="12"/>
      <c r="DB88" s="12"/>
      <c r="DC88" s="12"/>
      <c r="DD88" s="12"/>
      <c r="DE88" s="12"/>
      <c r="DF88" s="12"/>
      <c r="DG88" s="12"/>
      <c r="DH88" s="12"/>
      <c r="DI88" s="12"/>
      <c r="DJ88" s="12"/>
      <c r="DK88" s="12"/>
      <c r="DL88" s="12"/>
      <c r="DM88" s="12"/>
      <c r="DN88" s="12"/>
      <c r="DO88" s="12"/>
      <c r="DP88" s="12"/>
      <c r="DQ88" s="12"/>
      <c r="DR88" s="12"/>
      <c r="DS88" s="12"/>
      <c r="DT88" s="12"/>
      <c r="DU88" s="12"/>
      <c r="DV88" s="12"/>
      <c r="DW88" s="12"/>
      <c r="DX88" s="12"/>
      <c r="DY88" s="12"/>
      <c r="DZ88" s="12"/>
      <c r="EA88" s="12"/>
      <c r="EB88" s="12"/>
      <c r="EC88" s="12"/>
      <c r="ED88" s="12"/>
      <c r="EE88" s="12"/>
      <c r="EF88" s="12"/>
      <c r="EG88" s="12"/>
      <c r="EH88" s="12"/>
      <c r="EI88" s="12"/>
      <c r="EJ88" s="12"/>
      <c r="EK88" s="12"/>
      <c r="EL88" s="12"/>
      <c r="EM88" s="12"/>
      <c r="EN88" s="12"/>
      <c r="EO88" s="12"/>
      <c r="EP88" s="12"/>
      <c r="EQ88" s="12"/>
      <c r="ER88" s="12"/>
      <c r="ES88" s="12"/>
      <c r="ET88" s="12"/>
      <c r="EU88" s="12"/>
      <c r="EV88" s="12"/>
      <c r="EW88" s="12"/>
      <c r="EX88" s="12"/>
      <c r="EY88" s="12"/>
      <c r="EZ88" s="12"/>
      <c r="FA88" s="12"/>
      <c r="FB88" s="12"/>
      <c r="FC88" s="12"/>
      <c r="FD88" s="12"/>
      <c r="FE88" s="12"/>
      <c r="FF88" s="12"/>
      <c r="FG88" s="12"/>
      <c r="FH88" s="12"/>
      <c r="FI88" s="12"/>
      <c r="FJ88" s="12"/>
      <c r="FK88" s="12"/>
      <c r="FL88" s="12"/>
      <c r="FM88" s="12"/>
      <c r="FN88" s="12"/>
      <c r="FO88" s="12"/>
      <c r="FP88" s="12"/>
      <c r="FQ88" s="12"/>
      <c r="FR88" s="12"/>
      <c r="FS88" s="12"/>
      <c r="FT88" s="12"/>
      <c r="FU88" s="12"/>
      <c r="FV88" s="12"/>
      <c r="FW88" s="12"/>
      <c r="FX88" s="12"/>
      <c r="FY88" s="12"/>
      <c r="FZ88" s="12"/>
      <c r="GA88" s="12"/>
      <c r="GB88" s="12"/>
      <c r="GC88" s="12"/>
      <c r="GD88" s="12"/>
      <c r="GE88" s="12"/>
      <c r="GF88" s="12"/>
    </row>
    <row r="89" spans="1:188" ht="15.75" customHeight="1" x14ac:dyDescent="0.35">
      <c r="A89" s="5" t="s">
        <v>839</v>
      </c>
      <c r="B89" s="29"/>
      <c r="C89" s="7">
        <v>88</v>
      </c>
      <c r="D89" s="7" t="s">
        <v>579</v>
      </c>
      <c r="E89" s="11" t="s">
        <v>840</v>
      </c>
      <c r="F89" s="8" t="s">
        <v>841</v>
      </c>
      <c r="G89" s="8"/>
      <c r="H89" s="7" t="s">
        <v>842</v>
      </c>
      <c r="I89" s="7" t="s">
        <v>843</v>
      </c>
      <c r="J89" s="8" t="s">
        <v>844</v>
      </c>
      <c r="K89" s="8" t="s">
        <v>845</v>
      </c>
      <c r="L89" s="7" t="s">
        <v>690</v>
      </c>
      <c r="M89" s="7" t="s">
        <v>204</v>
      </c>
      <c r="N89" s="7" t="s">
        <v>70</v>
      </c>
      <c r="O89" s="7" t="s">
        <v>1079</v>
      </c>
      <c r="P89" s="63"/>
      <c r="Q89" s="7" t="s">
        <v>1079</v>
      </c>
      <c r="R89" s="7"/>
      <c r="S89" s="7"/>
      <c r="T89" s="7"/>
      <c r="U89" s="7"/>
      <c r="V89" s="7"/>
      <c r="W89" s="7"/>
      <c r="X89" s="7"/>
      <c r="Y89" s="61">
        <v>893724</v>
      </c>
      <c r="Z89" s="61"/>
      <c r="AA89" s="45"/>
      <c r="AB89" s="17"/>
      <c r="AC89" s="17"/>
      <c r="AD89" s="7"/>
      <c r="AE89" s="7"/>
      <c r="AF89" s="7"/>
      <c r="AG89" s="14"/>
      <c r="AH89" s="14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12"/>
      <c r="BH89" s="12"/>
      <c r="BI89" s="12"/>
      <c r="BJ89" s="12"/>
      <c r="BK89" s="12"/>
      <c r="BL89" s="12"/>
      <c r="BM89" s="12"/>
      <c r="BN89" s="12"/>
      <c r="BO89" s="12"/>
      <c r="BP89" s="12"/>
      <c r="BQ89" s="12"/>
      <c r="BR89" s="12"/>
      <c r="BS89" s="12"/>
      <c r="BT89" s="12"/>
      <c r="BU89" s="12"/>
      <c r="BV89" s="12"/>
      <c r="BW89" s="12"/>
      <c r="BX89" s="12"/>
      <c r="BY89" s="12"/>
      <c r="BZ89" s="12"/>
      <c r="CA89" s="12"/>
      <c r="CB89" s="12"/>
      <c r="CC89" s="12"/>
      <c r="CD89" s="12"/>
      <c r="CE89" s="12"/>
      <c r="CF89" s="12"/>
      <c r="CG89" s="12"/>
      <c r="CH89" s="12"/>
      <c r="CI89" s="12"/>
      <c r="CJ89" s="12"/>
      <c r="CK89" s="12"/>
      <c r="CL89" s="12"/>
      <c r="CM89" s="12"/>
      <c r="CN89" s="12"/>
      <c r="CO89" s="12"/>
      <c r="CP89" s="12"/>
      <c r="CQ89" s="12"/>
      <c r="CR89" s="12"/>
      <c r="CS89" s="12"/>
      <c r="CT89" s="12"/>
      <c r="CU89" s="12"/>
      <c r="CV89" s="12"/>
      <c r="CW89" s="12"/>
      <c r="CX89" s="12"/>
      <c r="CY89" s="12"/>
      <c r="CZ89" s="12"/>
      <c r="DA89" s="12"/>
      <c r="DB89" s="12"/>
      <c r="DC89" s="12"/>
      <c r="DD89" s="12"/>
      <c r="DE89" s="12"/>
      <c r="DF89" s="12"/>
      <c r="DG89" s="12"/>
      <c r="DH89" s="12"/>
      <c r="DI89" s="12"/>
      <c r="DJ89" s="12"/>
      <c r="DK89" s="12"/>
      <c r="DL89" s="12"/>
      <c r="DM89" s="12"/>
      <c r="DN89" s="12"/>
      <c r="DO89" s="12"/>
      <c r="DP89" s="12"/>
      <c r="DQ89" s="12"/>
      <c r="DR89" s="12"/>
      <c r="DS89" s="12"/>
      <c r="DT89" s="12"/>
      <c r="DU89" s="12"/>
      <c r="DV89" s="12"/>
      <c r="DW89" s="12"/>
      <c r="DX89" s="12"/>
      <c r="DY89" s="12"/>
      <c r="DZ89" s="12"/>
      <c r="EA89" s="12"/>
      <c r="EB89" s="12"/>
      <c r="EC89" s="12"/>
      <c r="ED89" s="12"/>
      <c r="EE89" s="12"/>
      <c r="EF89" s="12"/>
      <c r="EG89" s="12"/>
      <c r="EH89" s="12"/>
      <c r="EI89" s="12"/>
      <c r="EJ89" s="12"/>
      <c r="EK89" s="12"/>
      <c r="EL89" s="12"/>
      <c r="EM89" s="12"/>
      <c r="EN89" s="12"/>
      <c r="EO89" s="12"/>
      <c r="EP89" s="12"/>
      <c r="EQ89" s="12"/>
      <c r="ER89" s="12"/>
      <c r="ES89" s="12"/>
      <c r="ET89" s="12"/>
      <c r="EU89" s="12"/>
      <c r="EV89" s="12"/>
      <c r="EW89" s="12"/>
      <c r="EX89" s="12"/>
      <c r="EY89" s="12"/>
      <c r="EZ89" s="12"/>
      <c r="FA89" s="12"/>
      <c r="FB89" s="12"/>
      <c r="FC89" s="12"/>
      <c r="FD89" s="12"/>
      <c r="FE89" s="12"/>
      <c r="FF89" s="12"/>
      <c r="FG89" s="12"/>
      <c r="FH89" s="12"/>
      <c r="FI89" s="12"/>
      <c r="FJ89" s="12"/>
      <c r="FK89" s="12"/>
      <c r="FL89" s="12"/>
      <c r="FM89" s="12"/>
      <c r="FN89" s="12"/>
      <c r="FO89" s="12"/>
      <c r="FP89" s="12"/>
      <c r="FQ89" s="12"/>
      <c r="FR89" s="12"/>
      <c r="FS89" s="12"/>
      <c r="FT89" s="12"/>
      <c r="FU89" s="12"/>
      <c r="FV89" s="12"/>
      <c r="FW89" s="12"/>
      <c r="FX89" s="12"/>
      <c r="FY89" s="12"/>
      <c r="FZ89" s="12"/>
      <c r="GA89" s="12"/>
      <c r="GB89" s="12"/>
      <c r="GC89" s="12"/>
      <c r="GD89" s="12"/>
      <c r="GE89" s="12"/>
      <c r="GF89" s="12"/>
    </row>
    <row r="90" spans="1:188" ht="15.75" customHeight="1" x14ac:dyDescent="0.35">
      <c r="A90" s="5" t="s">
        <v>846</v>
      </c>
      <c r="B90" s="29"/>
      <c r="C90" s="7">
        <v>89</v>
      </c>
      <c r="D90" s="7" t="s">
        <v>586</v>
      </c>
      <c r="E90" s="11" t="s">
        <v>847</v>
      </c>
      <c r="F90" s="8" t="s">
        <v>848</v>
      </c>
      <c r="G90" s="8"/>
      <c r="H90" s="7" t="s">
        <v>849</v>
      </c>
      <c r="I90" s="7" t="s">
        <v>850</v>
      </c>
      <c r="J90" s="8" t="s">
        <v>851</v>
      </c>
      <c r="K90" s="8" t="s">
        <v>852</v>
      </c>
      <c r="L90" s="7" t="s">
        <v>690</v>
      </c>
      <c r="M90" s="7" t="s">
        <v>793</v>
      </c>
      <c r="N90" s="7" t="s">
        <v>70</v>
      </c>
      <c r="O90" s="7" t="s">
        <v>1079</v>
      </c>
      <c r="P90" s="7"/>
      <c r="Q90" s="7" t="s">
        <v>1079</v>
      </c>
      <c r="R90" s="7"/>
      <c r="S90" s="58">
        <v>45870</v>
      </c>
      <c r="T90" s="7" t="s">
        <v>853</v>
      </c>
      <c r="U90" s="7"/>
      <c r="V90" s="7"/>
      <c r="W90" s="7"/>
      <c r="X90" s="7"/>
      <c r="Y90" s="61">
        <v>687955</v>
      </c>
      <c r="Z90" s="61"/>
      <c r="AA90" s="45"/>
      <c r="AB90" s="17"/>
      <c r="AC90" s="17"/>
      <c r="AD90" s="7"/>
      <c r="AE90" s="7"/>
      <c r="AF90" s="7"/>
      <c r="AG90" s="14"/>
      <c r="AH90" s="14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12"/>
      <c r="BH90" s="12"/>
      <c r="BI90" s="12"/>
      <c r="BJ90" s="12"/>
      <c r="BK90" s="12"/>
      <c r="BL90" s="12"/>
      <c r="BM90" s="12"/>
      <c r="BN90" s="12"/>
      <c r="BO90" s="12"/>
      <c r="BP90" s="12"/>
      <c r="BQ90" s="12"/>
      <c r="BR90" s="12"/>
      <c r="BS90" s="12"/>
      <c r="BT90" s="12"/>
      <c r="BU90" s="12"/>
      <c r="BV90" s="12"/>
      <c r="BW90" s="12"/>
      <c r="BX90" s="12"/>
      <c r="BY90" s="12"/>
      <c r="BZ90" s="12"/>
      <c r="CA90" s="12"/>
      <c r="CB90" s="12"/>
      <c r="CC90" s="12"/>
      <c r="CD90" s="12"/>
      <c r="CE90" s="12"/>
      <c r="CF90" s="12"/>
      <c r="CG90" s="12"/>
      <c r="CH90" s="12"/>
      <c r="CI90" s="12"/>
      <c r="CJ90" s="12"/>
      <c r="CK90" s="12"/>
      <c r="CL90" s="12"/>
      <c r="CM90" s="12"/>
      <c r="CN90" s="12"/>
      <c r="CO90" s="12"/>
      <c r="CP90" s="12"/>
      <c r="CQ90" s="12"/>
      <c r="CR90" s="12"/>
      <c r="CS90" s="12"/>
      <c r="CT90" s="12"/>
      <c r="CU90" s="12"/>
      <c r="CV90" s="12"/>
      <c r="CW90" s="12"/>
      <c r="CX90" s="12"/>
      <c r="CY90" s="12"/>
      <c r="CZ90" s="12"/>
      <c r="DA90" s="12"/>
      <c r="DB90" s="12"/>
      <c r="DC90" s="12"/>
      <c r="DD90" s="12"/>
      <c r="DE90" s="12"/>
      <c r="DF90" s="12"/>
      <c r="DG90" s="12"/>
      <c r="DH90" s="12"/>
      <c r="DI90" s="12"/>
      <c r="DJ90" s="12"/>
      <c r="DK90" s="12"/>
      <c r="DL90" s="12"/>
      <c r="DM90" s="12"/>
      <c r="DN90" s="12"/>
      <c r="DO90" s="12"/>
      <c r="DP90" s="12"/>
      <c r="DQ90" s="12"/>
      <c r="DR90" s="12"/>
      <c r="DS90" s="12"/>
      <c r="DT90" s="12"/>
      <c r="DU90" s="12"/>
      <c r="DV90" s="12"/>
      <c r="DW90" s="12"/>
      <c r="DX90" s="12"/>
      <c r="DY90" s="12"/>
      <c r="DZ90" s="12"/>
      <c r="EA90" s="12"/>
      <c r="EB90" s="12"/>
      <c r="EC90" s="12"/>
      <c r="ED90" s="12"/>
      <c r="EE90" s="12"/>
      <c r="EF90" s="12"/>
      <c r="EG90" s="12"/>
      <c r="EH90" s="12"/>
      <c r="EI90" s="12"/>
      <c r="EJ90" s="12"/>
      <c r="EK90" s="12"/>
      <c r="EL90" s="12"/>
      <c r="EM90" s="12"/>
      <c r="EN90" s="12"/>
      <c r="EO90" s="12"/>
      <c r="EP90" s="12"/>
      <c r="EQ90" s="12"/>
      <c r="ER90" s="12"/>
      <c r="ES90" s="12"/>
      <c r="ET90" s="12"/>
      <c r="EU90" s="12"/>
      <c r="EV90" s="12"/>
      <c r="EW90" s="12"/>
      <c r="EX90" s="12"/>
      <c r="EY90" s="12"/>
      <c r="EZ90" s="12"/>
      <c r="FA90" s="12"/>
      <c r="FB90" s="12"/>
      <c r="FC90" s="12"/>
      <c r="FD90" s="12"/>
      <c r="FE90" s="12"/>
      <c r="FF90" s="12"/>
      <c r="FG90" s="12"/>
      <c r="FH90" s="12"/>
      <c r="FI90" s="12"/>
      <c r="FJ90" s="12"/>
      <c r="FK90" s="12"/>
      <c r="FL90" s="12"/>
      <c r="FM90" s="12"/>
      <c r="FN90" s="12"/>
      <c r="FO90" s="12"/>
      <c r="FP90" s="12"/>
      <c r="FQ90" s="12"/>
      <c r="FR90" s="12"/>
      <c r="FS90" s="12"/>
      <c r="FT90" s="12"/>
      <c r="FU90" s="12"/>
      <c r="FV90" s="12"/>
      <c r="FW90" s="12"/>
      <c r="FX90" s="12"/>
      <c r="FY90" s="12"/>
      <c r="FZ90" s="12"/>
      <c r="GA90" s="12"/>
      <c r="GB90" s="12"/>
      <c r="GC90" s="12"/>
      <c r="GD90" s="12"/>
      <c r="GE90" s="12"/>
      <c r="GF90" s="12"/>
    </row>
    <row r="91" spans="1:188" ht="15.75" customHeight="1" x14ac:dyDescent="0.35">
      <c r="A91" s="64" t="s">
        <v>854</v>
      </c>
      <c r="B91" s="29"/>
      <c r="C91" s="7">
        <v>90</v>
      </c>
      <c r="D91" s="7" t="s">
        <v>855</v>
      </c>
      <c r="E91" s="11" t="s">
        <v>856</v>
      </c>
      <c r="F91" s="8" t="s">
        <v>750</v>
      </c>
      <c r="G91" s="8"/>
      <c r="H91" s="7" t="s">
        <v>857</v>
      </c>
      <c r="I91" s="9" t="s">
        <v>835</v>
      </c>
      <c r="J91" s="8" t="s">
        <v>858</v>
      </c>
      <c r="K91" s="8" t="s">
        <v>753</v>
      </c>
      <c r="L91" s="7" t="s">
        <v>690</v>
      </c>
      <c r="M91" s="7" t="s">
        <v>59</v>
      </c>
      <c r="N91" s="7" t="s">
        <v>70</v>
      </c>
      <c r="O91" s="7" t="s">
        <v>1079</v>
      </c>
      <c r="P91" s="7"/>
      <c r="Q91" s="7" t="s">
        <v>1079</v>
      </c>
      <c r="R91" s="7" t="s">
        <v>137</v>
      </c>
      <c r="S91" s="7"/>
      <c r="T91" s="7"/>
      <c r="U91" s="7"/>
      <c r="V91" s="7"/>
      <c r="W91" s="7"/>
      <c r="X91" s="7"/>
      <c r="Y91" s="61">
        <v>1307637.18</v>
      </c>
      <c r="Z91" s="61"/>
      <c r="AA91" s="45"/>
      <c r="AB91" s="17"/>
      <c r="AC91" s="17"/>
      <c r="AD91" s="7"/>
      <c r="AE91" s="7"/>
      <c r="AF91" s="7"/>
      <c r="AG91" s="14"/>
      <c r="AH91" s="14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12"/>
      <c r="BH91" s="12"/>
      <c r="BI91" s="12"/>
      <c r="BJ91" s="12"/>
      <c r="BK91" s="12"/>
      <c r="BL91" s="12"/>
      <c r="BM91" s="12"/>
      <c r="BN91" s="12"/>
      <c r="BO91" s="12"/>
      <c r="BP91" s="12"/>
      <c r="BQ91" s="12"/>
      <c r="BR91" s="12"/>
      <c r="BS91" s="12"/>
      <c r="BT91" s="12"/>
      <c r="BU91" s="12"/>
      <c r="BV91" s="12"/>
      <c r="BW91" s="12"/>
      <c r="BX91" s="12"/>
      <c r="BY91" s="12"/>
      <c r="BZ91" s="12"/>
      <c r="CA91" s="12"/>
      <c r="CB91" s="12"/>
      <c r="CC91" s="12"/>
      <c r="CD91" s="12"/>
      <c r="CE91" s="12"/>
      <c r="CF91" s="12"/>
      <c r="CG91" s="12"/>
      <c r="CH91" s="12"/>
      <c r="CI91" s="12"/>
      <c r="CJ91" s="12"/>
      <c r="CK91" s="12"/>
      <c r="CL91" s="12"/>
      <c r="CM91" s="12"/>
      <c r="CN91" s="12"/>
      <c r="CO91" s="12"/>
      <c r="CP91" s="12"/>
      <c r="CQ91" s="12"/>
      <c r="CR91" s="12"/>
      <c r="CS91" s="12"/>
      <c r="CT91" s="12"/>
      <c r="CU91" s="12"/>
      <c r="CV91" s="12"/>
      <c r="CW91" s="12"/>
      <c r="CX91" s="12"/>
      <c r="CY91" s="12"/>
      <c r="CZ91" s="12"/>
      <c r="DA91" s="12"/>
      <c r="DB91" s="12"/>
      <c r="DC91" s="12"/>
      <c r="DD91" s="12"/>
      <c r="DE91" s="12"/>
      <c r="DF91" s="12"/>
      <c r="DG91" s="12"/>
      <c r="DH91" s="12"/>
      <c r="DI91" s="12"/>
      <c r="DJ91" s="12"/>
      <c r="DK91" s="12"/>
      <c r="DL91" s="12"/>
      <c r="DM91" s="12"/>
      <c r="DN91" s="12"/>
      <c r="DO91" s="12"/>
      <c r="DP91" s="12"/>
      <c r="DQ91" s="12"/>
      <c r="DR91" s="12"/>
      <c r="DS91" s="12"/>
      <c r="DT91" s="12"/>
      <c r="DU91" s="12"/>
      <c r="DV91" s="12"/>
      <c r="DW91" s="12"/>
      <c r="DX91" s="12"/>
      <c r="DY91" s="12"/>
      <c r="DZ91" s="12"/>
      <c r="EA91" s="12"/>
      <c r="EB91" s="12"/>
      <c r="EC91" s="12"/>
      <c r="ED91" s="12"/>
      <c r="EE91" s="12"/>
      <c r="EF91" s="12"/>
      <c r="EG91" s="12"/>
      <c r="EH91" s="12"/>
      <c r="EI91" s="12"/>
      <c r="EJ91" s="12"/>
      <c r="EK91" s="12"/>
      <c r="EL91" s="12"/>
      <c r="EM91" s="12"/>
      <c r="EN91" s="12"/>
      <c r="EO91" s="12"/>
      <c r="EP91" s="12"/>
      <c r="EQ91" s="12"/>
      <c r="ER91" s="12"/>
      <c r="ES91" s="12"/>
      <c r="ET91" s="12"/>
      <c r="EU91" s="12"/>
      <c r="EV91" s="12"/>
      <c r="EW91" s="12"/>
      <c r="EX91" s="12"/>
      <c r="EY91" s="12"/>
      <c r="EZ91" s="12"/>
      <c r="FA91" s="12"/>
      <c r="FB91" s="12"/>
      <c r="FC91" s="12"/>
      <c r="FD91" s="12"/>
      <c r="FE91" s="12"/>
      <c r="FF91" s="12"/>
      <c r="FG91" s="12"/>
      <c r="FH91" s="12"/>
      <c r="FI91" s="12"/>
      <c r="FJ91" s="12"/>
      <c r="FK91" s="12"/>
      <c r="FL91" s="12"/>
      <c r="FM91" s="12"/>
      <c r="FN91" s="12"/>
      <c r="FO91" s="12"/>
      <c r="FP91" s="12"/>
      <c r="FQ91" s="12"/>
      <c r="FR91" s="12"/>
      <c r="FS91" s="12"/>
      <c r="FT91" s="12"/>
      <c r="FU91" s="12"/>
      <c r="FV91" s="12"/>
      <c r="FW91" s="12"/>
      <c r="FX91" s="12"/>
      <c r="FY91" s="12"/>
      <c r="FZ91" s="12"/>
      <c r="GA91" s="12"/>
      <c r="GB91" s="12"/>
      <c r="GC91" s="12"/>
      <c r="GD91" s="12"/>
      <c r="GE91" s="12"/>
      <c r="GF91" s="12"/>
    </row>
    <row r="92" spans="1:188" ht="15.75" customHeight="1" x14ac:dyDescent="0.35">
      <c r="A92" s="64" t="s">
        <v>859</v>
      </c>
      <c r="B92" s="29"/>
      <c r="C92" s="7">
        <v>91</v>
      </c>
      <c r="D92" s="7" t="s">
        <v>860</v>
      </c>
      <c r="E92" s="14" t="s">
        <v>143</v>
      </c>
      <c r="F92" s="8" t="s">
        <v>750</v>
      </c>
      <c r="G92" s="8"/>
      <c r="H92" s="7" t="s">
        <v>857</v>
      </c>
      <c r="I92" s="9" t="s">
        <v>835</v>
      </c>
      <c r="J92" s="8" t="s">
        <v>861</v>
      </c>
      <c r="K92" s="8" t="s">
        <v>862</v>
      </c>
      <c r="L92" s="7" t="s">
        <v>247</v>
      </c>
      <c r="M92" s="7"/>
      <c r="N92" s="7" t="s">
        <v>70</v>
      </c>
      <c r="O92" s="7" t="s">
        <v>1079</v>
      </c>
      <c r="P92" s="7"/>
      <c r="Q92" s="7" t="s">
        <v>1079</v>
      </c>
      <c r="R92" s="7" t="s">
        <v>137</v>
      </c>
      <c r="S92" s="7"/>
      <c r="T92" s="7"/>
      <c r="U92" s="7"/>
      <c r="V92" s="7"/>
      <c r="W92" s="7"/>
      <c r="X92" s="7"/>
      <c r="Y92" s="61">
        <v>517240.43</v>
      </c>
      <c r="Z92" s="61"/>
      <c r="AA92" s="45"/>
      <c r="AB92" s="17"/>
      <c r="AC92" s="17"/>
      <c r="AD92" s="7"/>
      <c r="AE92" s="7"/>
      <c r="AF92" s="7"/>
      <c r="AG92" s="14"/>
      <c r="AH92" s="14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12"/>
      <c r="BH92" s="12"/>
      <c r="BI92" s="12"/>
      <c r="BJ92" s="12"/>
      <c r="BK92" s="12"/>
      <c r="BL92" s="12"/>
      <c r="BM92" s="12"/>
      <c r="BN92" s="12"/>
      <c r="BO92" s="12"/>
      <c r="BP92" s="12"/>
      <c r="BQ92" s="12"/>
      <c r="BR92" s="12"/>
      <c r="BS92" s="12"/>
      <c r="BT92" s="12"/>
      <c r="BU92" s="12"/>
      <c r="BV92" s="12"/>
      <c r="BW92" s="12"/>
      <c r="BX92" s="12"/>
      <c r="BY92" s="12"/>
      <c r="BZ92" s="12"/>
      <c r="CA92" s="12"/>
      <c r="CB92" s="12"/>
      <c r="CC92" s="12"/>
      <c r="CD92" s="12"/>
      <c r="CE92" s="12"/>
      <c r="CF92" s="12"/>
      <c r="CG92" s="12"/>
      <c r="CH92" s="12"/>
      <c r="CI92" s="12"/>
      <c r="CJ92" s="12"/>
      <c r="CK92" s="12"/>
      <c r="CL92" s="12"/>
      <c r="CM92" s="12"/>
      <c r="CN92" s="12"/>
      <c r="CO92" s="12"/>
      <c r="CP92" s="12"/>
      <c r="CQ92" s="12"/>
      <c r="CR92" s="12"/>
      <c r="CS92" s="12"/>
      <c r="CT92" s="12"/>
      <c r="CU92" s="12"/>
      <c r="CV92" s="12"/>
      <c r="CW92" s="12"/>
      <c r="CX92" s="12"/>
      <c r="CY92" s="12"/>
      <c r="CZ92" s="12"/>
      <c r="DA92" s="12"/>
      <c r="DB92" s="12"/>
      <c r="DC92" s="12"/>
      <c r="DD92" s="12"/>
      <c r="DE92" s="12"/>
      <c r="DF92" s="12"/>
      <c r="DG92" s="12"/>
      <c r="DH92" s="12"/>
      <c r="DI92" s="12"/>
      <c r="DJ92" s="12"/>
      <c r="DK92" s="12"/>
      <c r="DL92" s="12"/>
      <c r="DM92" s="12"/>
      <c r="DN92" s="12"/>
      <c r="DO92" s="12"/>
      <c r="DP92" s="12"/>
      <c r="DQ92" s="12"/>
      <c r="DR92" s="12"/>
      <c r="DS92" s="12"/>
      <c r="DT92" s="12"/>
      <c r="DU92" s="12"/>
      <c r="DV92" s="12"/>
      <c r="DW92" s="12"/>
      <c r="DX92" s="12"/>
      <c r="DY92" s="12"/>
      <c r="DZ92" s="12"/>
      <c r="EA92" s="12"/>
      <c r="EB92" s="12"/>
      <c r="EC92" s="12"/>
      <c r="ED92" s="12"/>
      <c r="EE92" s="12"/>
      <c r="EF92" s="12"/>
      <c r="EG92" s="12"/>
      <c r="EH92" s="12"/>
      <c r="EI92" s="12"/>
      <c r="EJ92" s="12"/>
      <c r="EK92" s="12"/>
      <c r="EL92" s="12"/>
      <c r="EM92" s="12"/>
      <c r="EN92" s="12"/>
      <c r="EO92" s="12"/>
      <c r="EP92" s="12"/>
      <c r="EQ92" s="12"/>
      <c r="ER92" s="12"/>
      <c r="ES92" s="12"/>
      <c r="ET92" s="12"/>
      <c r="EU92" s="12"/>
      <c r="EV92" s="12"/>
      <c r="EW92" s="12"/>
      <c r="EX92" s="12"/>
      <c r="EY92" s="12"/>
      <c r="EZ92" s="12"/>
      <c r="FA92" s="12"/>
      <c r="FB92" s="12"/>
      <c r="FC92" s="12"/>
      <c r="FD92" s="12"/>
      <c r="FE92" s="12"/>
      <c r="FF92" s="12"/>
      <c r="FG92" s="12"/>
      <c r="FH92" s="12"/>
      <c r="FI92" s="12"/>
      <c r="FJ92" s="12"/>
      <c r="FK92" s="12"/>
      <c r="FL92" s="12"/>
      <c r="FM92" s="12"/>
      <c r="FN92" s="12"/>
      <c r="FO92" s="12"/>
      <c r="FP92" s="12"/>
      <c r="FQ92" s="12"/>
      <c r="FR92" s="12"/>
      <c r="FS92" s="12"/>
      <c r="FT92" s="12"/>
      <c r="FU92" s="12"/>
      <c r="FV92" s="12"/>
      <c r="FW92" s="12"/>
      <c r="FX92" s="12"/>
      <c r="FY92" s="12"/>
      <c r="FZ92" s="12"/>
      <c r="GA92" s="12"/>
      <c r="GB92" s="12"/>
      <c r="GC92" s="12"/>
      <c r="GD92" s="12"/>
      <c r="GE92" s="12"/>
      <c r="GF92" s="12"/>
    </row>
    <row r="93" spans="1:188" ht="15.75" customHeight="1" x14ac:dyDescent="0.35">
      <c r="A93" s="5" t="s">
        <v>863</v>
      </c>
      <c r="B93" s="29"/>
      <c r="C93" s="7">
        <v>92</v>
      </c>
      <c r="D93" s="7" t="s">
        <v>864</v>
      </c>
      <c r="E93" s="11" t="s">
        <v>865</v>
      </c>
      <c r="F93" s="8" t="s">
        <v>866</v>
      </c>
      <c r="G93" s="8"/>
      <c r="H93" s="7" t="s">
        <v>867</v>
      </c>
      <c r="I93" s="7" t="s">
        <v>868</v>
      </c>
      <c r="J93" s="8" t="s">
        <v>869</v>
      </c>
      <c r="K93" s="8" t="s">
        <v>870</v>
      </c>
      <c r="L93" s="7" t="s">
        <v>690</v>
      </c>
      <c r="M93" s="7" t="s">
        <v>124</v>
      </c>
      <c r="N93" s="7" t="s">
        <v>70</v>
      </c>
      <c r="O93" s="7" t="s">
        <v>1079</v>
      </c>
      <c r="P93" s="7"/>
      <c r="Q93" s="7" t="s">
        <v>1079</v>
      </c>
      <c r="R93" s="7"/>
      <c r="S93" s="58">
        <v>46082</v>
      </c>
      <c r="T93" s="7" t="s">
        <v>871</v>
      </c>
      <c r="U93" s="7" t="s">
        <v>74</v>
      </c>
      <c r="V93" s="7"/>
      <c r="W93" s="7"/>
      <c r="X93" s="7" t="s">
        <v>70</v>
      </c>
      <c r="Y93" s="61">
        <v>1022931.05</v>
      </c>
      <c r="Z93" s="61"/>
      <c r="AA93" s="45"/>
      <c r="AB93" s="17"/>
      <c r="AC93" s="17"/>
      <c r="AD93" s="7"/>
      <c r="AE93" s="7"/>
      <c r="AF93" s="7"/>
      <c r="AG93" s="14"/>
      <c r="AH93" s="14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12"/>
      <c r="BH93" s="12"/>
      <c r="BI93" s="12"/>
      <c r="BJ93" s="12"/>
      <c r="BK93" s="12"/>
      <c r="BL93" s="12"/>
      <c r="BM93" s="12"/>
      <c r="BN93" s="12"/>
      <c r="BO93" s="12"/>
      <c r="BP93" s="12"/>
      <c r="BQ93" s="12"/>
      <c r="BR93" s="12"/>
      <c r="BS93" s="12"/>
      <c r="BT93" s="12"/>
      <c r="BU93" s="12"/>
      <c r="BV93" s="12"/>
      <c r="BW93" s="12"/>
      <c r="BX93" s="12"/>
      <c r="BY93" s="12"/>
      <c r="BZ93" s="12"/>
      <c r="CA93" s="12"/>
      <c r="CB93" s="12"/>
      <c r="CC93" s="12"/>
      <c r="CD93" s="12"/>
      <c r="CE93" s="12"/>
      <c r="CF93" s="12"/>
      <c r="CG93" s="12"/>
      <c r="CH93" s="12"/>
      <c r="CI93" s="12"/>
      <c r="CJ93" s="12"/>
      <c r="CK93" s="12"/>
      <c r="CL93" s="12"/>
      <c r="CM93" s="12"/>
      <c r="CN93" s="12"/>
      <c r="CO93" s="12"/>
      <c r="CP93" s="12"/>
      <c r="CQ93" s="12"/>
      <c r="CR93" s="12"/>
      <c r="CS93" s="12"/>
      <c r="CT93" s="12"/>
      <c r="CU93" s="12"/>
      <c r="CV93" s="12"/>
      <c r="CW93" s="12"/>
      <c r="CX93" s="12"/>
      <c r="CY93" s="12"/>
      <c r="CZ93" s="12"/>
      <c r="DA93" s="12"/>
      <c r="DB93" s="12"/>
      <c r="DC93" s="12"/>
      <c r="DD93" s="12"/>
      <c r="DE93" s="12"/>
      <c r="DF93" s="12"/>
      <c r="DG93" s="12"/>
      <c r="DH93" s="12"/>
      <c r="DI93" s="12"/>
      <c r="DJ93" s="12"/>
      <c r="DK93" s="12"/>
      <c r="DL93" s="12"/>
      <c r="DM93" s="12"/>
      <c r="DN93" s="12"/>
      <c r="DO93" s="12"/>
      <c r="DP93" s="12"/>
      <c r="DQ93" s="12"/>
      <c r="DR93" s="12"/>
      <c r="DS93" s="12"/>
      <c r="DT93" s="12"/>
      <c r="DU93" s="12"/>
      <c r="DV93" s="12"/>
      <c r="DW93" s="12"/>
      <c r="DX93" s="12"/>
      <c r="DY93" s="12"/>
      <c r="DZ93" s="12"/>
      <c r="EA93" s="12"/>
      <c r="EB93" s="12"/>
      <c r="EC93" s="12"/>
      <c r="ED93" s="12"/>
      <c r="EE93" s="12"/>
      <c r="EF93" s="12"/>
      <c r="EG93" s="12"/>
      <c r="EH93" s="12"/>
      <c r="EI93" s="12"/>
      <c r="EJ93" s="12"/>
      <c r="EK93" s="12"/>
      <c r="EL93" s="12"/>
      <c r="EM93" s="12"/>
      <c r="EN93" s="12"/>
      <c r="EO93" s="12"/>
      <c r="EP93" s="12"/>
      <c r="EQ93" s="12"/>
      <c r="ER93" s="12"/>
      <c r="ES93" s="12"/>
      <c r="ET93" s="12"/>
      <c r="EU93" s="12"/>
      <c r="EV93" s="12"/>
      <c r="EW93" s="12"/>
      <c r="EX93" s="12"/>
      <c r="EY93" s="12"/>
      <c r="EZ93" s="12"/>
      <c r="FA93" s="12"/>
      <c r="FB93" s="12"/>
      <c r="FC93" s="12"/>
      <c r="FD93" s="12"/>
      <c r="FE93" s="12"/>
      <c r="FF93" s="12"/>
      <c r="FG93" s="12"/>
      <c r="FH93" s="12"/>
      <c r="FI93" s="12"/>
      <c r="FJ93" s="12"/>
      <c r="FK93" s="12"/>
      <c r="FL93" s="12"/>
      <c r="FM93" s="12"/>
      <c r="FN93" s="12"/>
      <c r="FO93" s="12"/>
      <c r="FP93" s="12"/>
      <c r="FQ93" s="12"/>
      <c r="FR93" s="12"/>
      <c r="FS93" s="12"/>
      <c r="FT93" s="12"/>
      <c r="FU93" s="12"/>
      <c r="FV93" s="12"/>
      <c r="FW93" s="12"/>
      <c r="FX93" s="12"/>
      <c r="FY93" s="12"/>
      <c r="FZ93" s="12"/>
      <c r="GA93" s="12"/>
      <c r="GB93" s="12"/>
      <c r="GC93" s="12"/>
      <c r="GD93" s="12"/>
      <c r="GE93" s="12"/>
      <c r="GF93" s="12"/>
    </row>
    <row r="94" spans="1:188" ht="15.75" customHeight="1" x14ac:dyDescent="0.35">
      <c r="A94" s="43" t="s">
        <v>872</v>
      </c>
      <c r="B94" s="29"/>
      <c r="C94" s="7">
        <v>93</v>
      </c>
      <c r="D94" s="7" t="s">
        <v>873</v>
      </c>
      <c r="E94" s="11" t="s">
        <v>874</v>
      </c>
      <c r="F94" s="8" t="s">
        <v>875</v>
      </c>
      <c r="G94" s="8"/>
      <c r="H94" s="7" t="s">
        <v>876</v>
      </c>
      <c r="I94" s="7" t="s">
        <v>877</v>
      </c>
      <c r="J94" s="8" t="s">
        <v>878</v>
      </c>
      <c r="K94" s="8" t="s">
        <v>879</v>
      </c>
      <c r="L94" s="7" t="s">
        <v>690</v>
      </c>
      <c r="M94" s="7" t="s">
        <v>366</v>
      </c>
      <c r="N94" s="7" t="s">
        <v>70</v>
      </c>
      <c r="O94" s="7" t="s">
        <v>1079</v>
      </c>
      <c r="P94" s="7"/>
      <c r="Q94" s="7" t="s">
        <v>1079</v>
      </c>
      <c r="R94" s="7"/>
      <c r="S94" s="58">
        <v>46113</v>
      </c>
      <c r="T94" s="7" t="s">
        <v>880</v>
      </c>
      <c r="U94" s="7" t="s">
        <v>74</v>
      </c>
      <c r="V94" s="7"/>
      <c r="W94" s="7"/>
      <c r="X94" s="7"/>
      <c r="Y94" s="61">
        <v>733125</v>
      </c>
      <c r="Z94" s="61"/>
      <c r="AA94" s="45"/>
      <c r="AB94" s="17"/>
      <c r="AC94" s="17"/>
      <c r="AD94" s="7"/>
      <c r="AE94" s="7"/>
      <c r="AF94" s="7"/>
      <c r="AG94" s="14"/>
      <c r="AH94" s="14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12"/>
      <c r="BH94" s="12"/>
      <c r="BI94" s="12"/>
      <c r="BJ94" s="12"/>
      <c r="BK94" s="12"/>
      <c r="BL94" s="12"/>
      <c r="BM94" s="12"/>
      <c r="BN94" s="12"/>
      <c r="BO94" s="12"/>
      <c r="BP94" s="12"/>
      <c r="BQ94" s="12"/>
      <c r="BR94" s="12"/>
      <c r="BS94" s="12"/>
      <c r="BT94" s="12"/>
      <c r="BU94" s="12"/>
      <c r="BV94" s="12"/>
      <c r="BW94" s="12"/>
      <c r="BX94" s="12"/>
      <c r="BY94" s="12"/>
      <c r="BZ94" s="12"/>
      <c r="CA94" s="12"/>
      <c r="CB94" s="12"/>
      <c r="CC94" s="12"/>
      <c r="CD94" s="12"/>
      <c r="CE94" s="12"/>
      <c r="CF94" s="12"/>
      <c r="CG94" s="12"/>
      <c r="CH94" s="12"/>
      <c r="CI94" s="12"/>
      <c r="CJ94" s="12"/>
      <c r="CK94" s="12"/>
      <c r="CL94" s="12"/>
      <c r="CM94" s="12"/>
      <c r="CN94" s="12"/>
      <c r="CO94" s="12"/>
      <c r="CP94" s="12"/>
      <c r="CQ94" s="12"/>
      <c r="CR94" s="12"/>
      <c r="CS94" s="12"/>
      <c r="CT94" s="12"/>
      <c r="CU94" s="12"/>
      <c r="CV94" s="12"/>
      <c r="CW94" s="12"/>
      <c r="CX94" s="12"/>
      <c r="CY94" s="12"/>
      <c r="CZ94" s="12"/>
      <c r="DA94" s="12"/>
      <c r="DB94" s="12"/>
      <c r="DC94" s="12"/>
      <c r="DD94" s="12"/>
      <c r="DE94" s="12"/>
      <c r="DF94" s="12"/>
      <c r="DG94" s="12"/>
      <c r="DH94" s="12"/>
      <c r="DI94" s="12"/>
      <c r="DJ94" s="12"/>
      <c r="DK94" s="12"/>
      <c r="DL94" s="12"/>
      <c r="DM94" s="12"/>
      <c r="DN94" s="12"/>
      <c r="DO94" s="12"/>
      <c r="DP94" s="12"/>
      <c r="DQ94" s="12"/>
      <c r="DR94" s="12"/>
      <c r="DS94" s="12"/>
      <c r="DT94" s="12"/>
      <c r="DU94" s="12"/>
      <c r="DV94" s="12"/>
      <c r="DW94" s="12"/>
      <c r="DX94" s="12"/>
      <c r="DY94" s="12"/>
      <c r="DZ94" s="12"/>
      <c r="EA94" s="12"/>
      <c r="EB94" s="12"/>
      <c r="EC94" s="12"/>
      <c r="ED94" s="12"/>
      <c r="EE94" s="12"/>
      <c r="EF94" s="12"/>
      <c r="EG94" s="12"/>
      <c r="EH94" s="12"/>
      <c r="EI94" s="12"/>
      <c r="EJ94" s="12"/>
      <c r="EK94" s="12"/>
      <c r="EL94" s="12"/>
      <c r="EM94" s="12"/>
      <c r="EN94" s="12"/>
      <c r="EO94" s="12"/>
      <c r="EP94" s="12"/>
      <c r="EQ94" s="12"/>
      <c r="ER94" s="12"/>
      <c r="ES94" s="12"/>
      <c r="ET94" s="12"/>
      <c r="EU94" s="12"/>
      <c r="EV94" s="12"/>
      <c r="EW94" s="12"/>
      <c r="EX94" s="12"/>
      <c r="EY94" s="12"/>
      <c r="EZ94" s="12"/>
      <c r="FA94" s="12"/>
      <c r="FB94" s="12"/>
      <c r="FC94" s="12"/>
      <c r="FD94" s="12"/>
      <c r="FE94" s="12"/>
      <c r="FF94" s="12"/>
      <c r="FG94" s="12"/>
      <c r="FH94" s="12"/>
      <c r="FI94" s="12"/>
      <c r="FJ94" s="12"/>
      <c r="FK94" s="12"/>
      <c r="FL94" s="12"/>
      <c r="FM94" s="12"/>
      <c r="FN94" s="12"/>
      <c r="FO94" s="12"/>
      <c r="FP94" s="12"/>
      <c r="FQ94" s="12"/>
      <c r="FR94" s="12"/>
      <c r="FS94" s="12"/>
      <c r="FT94" s="12"/>
      <c r="FU94" s="12"/>
      <c r="FV94" s="12"/>
      <c r="FW94" s="12"/>
      <c r="FX94" s="12"/>
      <c r="FY94" s="12"/>
      <c r="FZ94" s="12"/>
      <c r="GA94" s="12"/>
      <c r="GB94" s="12"/>
      <c r="GC94" s="12"/>
      <c r="GD94" s="12"/>
      <c r="GE94" s="12"/>
      <c r="GF94" s="12"/>
    </row>
    <row r="95" spans="1:188" ht="15.75" customHeight="1" x14ac:dyDescent="0.35">
      <c r="A95" s="5" t="s">
        <v>881</v>
      </c>
      <c r="B95" s="65"/>
      <c r="C95" s="7">
        <v>94</v>
      </c>
      <c r="D95" s="7" t="s">
        <v>882</v>
      </c>
      <c r="E95" s="11" t="s">
        <v>883</v>
      </c>
      <c r="F95" s="8" t="s">
        <v>884</v>
      </c>
      <c r="G95" s="8"/>
      <c r="H95" s="7" t="s">
        <v>885</v>
      </c>
      <c r="I95" s="7" t="s">
        <v>886</v>
      </c>
      <c r="J95" s="8" t="s">
        <v>887</v>
      </c>
      <c r="K95" s="8" t="s">
        <v>888</v>
      </c>
      <c r="L95" s="7" t="s">
        <v>690</v>
      </c>
      <c r="M95" s="7" t="s">
        <v>561</v>
      </c>
      <c r="N95" s="7" t="s">
        <v>70</v>
      </c>
      <c r="O95" s="7" t="s">
        <v>1079</v>
      </c>
      <c r="P95" s="7" t="s">
        <v>740</v>
      </c>
      <c r="Q95" s="7" t="s">
        <v>1079</v>
      </c>
      <c r="R95" s="7" t="s">
        <v>740</v>
      </c>
      <c r="S95" s="58">
        <v>46235</v>
      </c>
      <c r="T95" s="7" t="s">
        <v>281</v>
      </c>
      <c r="U95" s="7" t="s">
        <v>74</v>
      </c>
      <c r="V95" s="7" t="s">
        <v>70</v>
      </c>
      <c r="W95" s="7" t="s">
        <v>74</v>
      </c>
      <c r="X95" s="7" t="s">
        <v>70</v>
      </c>
      <c r="Y95" s="61">
        <v>1254250</v>
      </c>
      <c r="Z95" s="61"/>
      <c r="AA95" s="45"/>
      <c r="AB95" s="17"/>
      <c r="AC95" s="17"/>
      <c r="AD95" s="7"/>
      <c r="AE95" s="7"/>
      <c r="AF95" s="7"/>
      <c r="AG95" s="14"/>
      <c r="AH95" s="14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12"/>
      <c r="BH95" s="12"/>
      <c r="BI95" s="12"/>
      <c r="BJ95" s="12"/>
      <c r="BK95" s="12"/>
      <c r="BL95" s="12"/>
      <c r="BM95" s="12"/>
      <c r="BN95" s="12"/>
      <c r="BO95" s="12"/>
      <c r="BP95" s="12"/>
      <c r="BQ95" s="12"/>
      <c r="BR95" s="12"/>
      <c r="BS95" s="12"/>
      <c r="BT95" s="12"/>
      <c r="BU95" s="12"/>
      <c r="BV95" s="12"/>
      <c r="BW95" s="12"/>
      <c r="BX95" s="12"/>
      <c r="BY95" s="12"/>
      <c r="BZ95" s="12"/>
      <c r="CA95" s="12"/>
      <c r="CB95" s="12"/>
      <c r="CC95" s="12"/>
      <c r="CD95" s="12"/>
      <c r="CE95" s="12"/>
      <c r="CF95" s="12"/>
      <c r="CG95" s="12"/>
      <c r="CH95" s="12"/>
      <c r="CI95" s="12"/>
      <c r="CJ95" s="12"/>
      <c r="CK95" s="12"/>
      <c r="CL95" s="12"/>
      <c r="CM95" s="12"/>
      <c r="CN95" s="12"/>
      <c r="CO95" s="12"/>
      <c r="CP95" s="12"/>
      <c r="CQ95" s="12"/>
      <c r="CR95" s="12"/>
      <c r="CS95" s="12"/>
      <c r="CT95" s="12"/>
      <c r="CU95" s="12"/>
      <c r="CV95" s="12"/>
      <c r="CW95" s="12"/>
      <c r="CX95" s="12"/>
      <c r="CY95" s="12"/>
      <c r="CZ95" s="12"/>
      <c r="DA95" s="12"/>
      <c r="DB95" s="12"/>
      <c r="DC95" s="12"/>
      <c r="DD95" s="12"/>
      <c r="DE95" s="12"/>
      <c r="DF95" s="12"/>
      <c r="DG95" s="12"/>
      <c r="DH95" s="12"/>
      <c r="DI95" s="12"/>
      <c r="DJ95" s="12"/>
      <c r="DK95" s="12"/>
      <c r="DL95" s="12"/>
      <c r="DM95" s="12"/>
      <c r="DN95" s="12"/>
      <c r="DO95" s="12"/>
      <c r="DP95" s="12"/>
      <c r="DQ95" s="12"/>
      <c r="DR95" s="12"/>
      <c r="DS95" s="12"/>
      <c r="DT95" s="12"/>
      <c r="DU95" s="12"/>
      <c r="DV95" s="12"/>
      <c r="DW95" s="12"/>
      <c r="DX95" s="12"/>
      <c r="DY95" s="12"/>
      <c r="DZ95" s="12"/>
      <c r="EA95" s="12"/>
      <c r="EB95" s="12"/>
      <c r="EC95" s="12"/>
      <c r="ED95" s="12"/>
      <c r="EE95" s="12"/>
      <c r="EF95" s="12"/>
      <c r="EG95" s="12"/>
      <c r="EH95" s="12"/>
      <c r="EI95" s="12"/>
      <c r="EJ95" s="12"/>
      <c r="EK95" s="12"/>
      <c r="EL95" s="12"/>
      <c r="EM95" s="12"/>
      <c r="EN95" s="12"/>
      <c r="EO95" s="12"/>
      <c r="EP95" s="12"/>
      <c r="EQ95" s="12"/>
      <c r="ER95" s="12"/>
      <c r="ES95" s="12"/>
      <c r="ET95" s="12"/>
      <c r="EU95" s="12"/>
      <c r="EV95" s="12"/>
      <c r="EW95" s="12"/>
      <c r="EX95" s="12"/>
      <c r="EY95" s="12"/>
      <c r="EZ95" s="12"/>
      <c r="FA95" s="12"/>
      <c r="FB95" s="12"/>
      <c r="FC95" s="12"/>
      <c r="FD95" s="12"/>
      <c r="FE95" s="12"/>
      <c r="FF95" s="12"/>
      <c r="FG95" s="12"/>
      <c r="FH95" s="12"/>
      <c r="FI95" s="12"/>
      <c r="FJ95" s="12"/>
      <c r="FK95" s="12"/>
      <c r="FL95" s="12"/>
      <c r="FM95" s="12"/>
      <c r="FN95" s="12"/>
      <c r="FO95" s="12"/>
      <c r="FP95" s="12"/>
      <c r="FQ95" s="12"/>
      <c r="FR95" s="12"/>
      <c r="FS95" s="12"/>
      <c r="FT95" s="12"/>
      <c r="FU95" s="12"/>
      <c r="FV95" s="12"/>
      <c r="FW95" s="12"/>
      <c r="FX95" s="12"/>
      <c r="FY95" s="12"/>
      <c r="FZ95" s="12"/>
      <c r="GA95" s="12"/>
      <c r="GB95" s="12"/>
      <c r="GC95" s="12"/>
      <c r="GD95" s="12"/>
      <c r="GE95" s="12"/>
      <c r="GF95" s="12"/>
    </row>
    <row r="96" spans="1:188" ht="15.75" customHeight="1" x14ac:dyDescent="0.35">
      <c r="A96" s="66" t="s">
        <v>889</v>
      </c>
      <c r="B96" s="67"/>
      <c r="C96" s="7">
        <v>95</v>
      </c>
      <c r="D96" s="7" t="s">
        <v>890</v>
      </c>
      <c r="E96" s="14" t="s">
        <v>143</v>
      </c>
      <c r="F96" s="68"/>
      <c r="G96" s="8"/>
      <c r="H96" s="7" t="s">
        <v>891</v>
      </c>
      <c r="I96" s="7" t="s">
        <v>892</v>
      </c>
      <c r="J96" s="69" t="s">
        <v>893</v>
      </c>
      <c r="K96" s="8"/>
      <c r="L96" s="7" t="s">
        <v>690</v>
      </c>
      <c r="M96" s="7" t="s">
        <v>579</v>
      </c>
      <c r="N96" s="7" t="s">
        <v>70</v>
      </c>
      <c r="O96" s="7" t="s">
        <v>1079</v>
      </c>
      <c r="P96" s="7"/>
      <c r="Q96" s="7" t="s">
        <v>1079</v>
      </c>
      <c r="R96" s="7" t="s">
        <v>894</v>
      </c>
      <c r="S96" s="7"/>
      <c r="T96" s="7"/>
      <c r="U96" s="7"/>
      <c r="V96" s="7"/>
      <c r="W96" s="7"/>
      <c r="X96" s="62"/>
      <c r="Y96" s="61">
        <v>3380561.16</v>
      </c>
      <c r="Z96" s="61"/>
      <c r="AA96" s="45"/>
      <c r="AB96" s="17"/>
      <c r="AC96" s="17"/>
      <c r="AD96" s="7"/>
      <c r="AE96" s="7"/>
      <c r="AF96" s="7"/>
      <c r="AG96" s="14"/>
      <c r="AH96" s="14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12"/>
      <c r="BH96" s="12"/>
      <c r="BI96" s="12"/>
      <c r="BJ96" s="12"/>
      <c r="BK96" s="12"/>
      <c r="BL96" s="12"/>
      <c r="BM96" s="12"/>
      <c r="BN96" s="12"/>
      <c r="BO96" s="12"/>
      <c r="BP96" s="12"/>
      <c r="BQ96" s="12"/>
      <c r="BR96" s="12"/>
      <c r="BS96" s="12"/>
      <c r="BT96" s="12"/>
      <c r="BU96" s="12"/>
      <c r="BV96" s="12"/>
      <c r="BW96" s="12"/>
      <c r="BX96" s="12"/>
      <c r="BY96" s="12"/>
      <c r="BZ96" s="12"/>
      <c r="CA96" s="12"/>
      <c r="CB96" s="12"/>
      <c r="CC96" s="12"/>
      <c r="CD96" s="12"/>
      <c r="CE96" s="12"/>
      <c r="CF96" s="12"/>
      <c r="CG96" s="12"/>
      <c r="CH96" s="12"/>
      <c r="CI96" s="12"/>
      <c r="CJ96" s="12"/>
      <c r="CK96" s="12"/>
      <c r="CL96" s="12"/>
      <c r="CM96" s="12"/>
      <c r="CN96" s="12"/>
      <c r="CO96" s="12"/>
      <c r="CP96" s="12"/>
      <c r="CQ96" s="12"/>
      <c r="CR96" s="12"/>
      <c r="CS96" s="12"/>
      <c r="CT96" s="12"/>
      <c r="CU96" s="12"/>
      <c r="CV96" s="12"/>
      <c r="CW96" s="12"/>
      <c r="CX96" s="12"/>
      <c r="CY96" s="12"/>
      <c r="CZ96" s="12"/>
      <c r="DA96" s="12"/>
      <c r="DB96" s="12"/>
      <c r="DC96" s="12"/>
      <c r="DD96" s="12"/>
      <c r="DE96" s="12"/>
      <c r="DF96" s="12"/>
      <c r="DG96" s="12"/>
      <c r="DH96" s="12"/>
      <c r="DI96" s="12"/>
      <c r="DJ96" s="12"/>
      <c r="DK96" s="12"/>
      <c r="DL96" s="12"/>
      <c r="DM96" s="12"/>
      <c r="DN96" s="12"/>
      <c r="DO96" s="12"/>
      <c r="DP96" s="12"/>
      <c r="DQ96" s="12"/>
      <c r="DR96" s="12"/>
      <c r="DS96" s="12"/>
      <c r="DT96" s="12"/>
      <c r="DU96" s="12"/>
      <c r="DV96" s="12"/>
      <c r="DW96" s="12"/>
      <c r="DX96" s="12"/>
      <c r="DY96" s="12"/>
      <c r="DZ96" s="12"/>
      <c r="EA96" s="12"/>
      <c r="EB96" s="12"/>
      <c r="EC96" s="12"/>
      <c r="ED96" s="12"/>
      <c r="EE96" s="12"/>
      <c r="EF96" s="12"/>
      <c r="EG96" s="12"/>
      <c r="EH96" s="12"/>
      <c r="EI96" s="12"/>
      <c r="EJ96" s="12"/>
      <c r="EK96" s="12"/>
      <c r="EL96" s="12"/>
      <c r="EM96" s="12"/>
      <c r="EN96" s="12"/>
      <c r="EO96" s="12"/>
      <c r="EP96" s="12"/>
      <c r="EQ96" s="12"/>
      <c r="ER96" s="12"/>
      <c r="ES96" s="12"/>
      <c r="ET96" s="12"/>
      <c r="EU96" s="12"/>
      <c r="EV96" s="12"/>
      <c r="EW96" s="12"/>
      <c r="EX96" s="12"/>
      <c r="EY96" s="12"/>
      <c r="EZ96" s="12"/>
      <c r="FA96" s="12"/>
      <c r="FB96" s="12"/>
      <c r="FC96" s="12"/>
      <c r="FD96" s="12"/>
      <c r="FE96" s="12"/>
      <c r="FF96" s="12"/>
      <c r="FG96" s="12"/>
      <c r="FH96" s="12"/>
      <c r="FI96" s="12"/>
      <c r="FJ96" s="12"/>
      <c r="FK96" s="12"/>
      <c r="FL96" s="12"/>
      <c r="FM96" s="12"/>
      <c r="FN96" s="12"/>
      <c r="FO96" s="12"/>
      <c r="FP96" s="12"/>
      <c r="FQ96" s="12"/>
      <c r="FR96" s="12"/>
      <c r="FS96" s="12"/>
      <c r="FT96" s="12"/>
      <c r="FU96" s="12"/>
      <c r="FV96" s="12"/>
      <c r="FW96" s="12"/>
      <c r="FX96" s="12"/>
      <c r="FY96" s="12"/>
      <c r="FZ96" s="12"/>
      <c r="GA96" s="12"/>
      <c r="GB96" s="12"/>
      <c r="GC96" s="12"/>
      <c r="GD96" s="12"/>
      <c r="GE96" s="12"/>
      <c r="GF96" s="12"/>
    </row>
    <row r="97" spans="1:188" ht="15.75" customHeight="1" x14ac:dyDescent="0.35">
      <c r="A97" s="5" t="s">
        <v>895</v>
      </c>
      <c r="B97" s="67"/>
      <c r="C97" s="7">
        <v>96</v>
      </c>
      <c r="D97" s="7" t="s">
        <v>896</v>
      </c>
      <c r="E97" s="14" t="s">
        <v>143</v>
      </c>
      <c r="F97" s="8" t="s">
        <v>895</v>
      </c>
      <c r="G97" s="8"/>
      <c r="H97" s="7" t="s">
        <v>891</v>
      </c>
      <c r="I97" s="7" t="s">
        <v>892</v>
      </c>
      <c r="J97" s="8" t="s">
        <v>897</v>
      </c>
      <c r="K97" s="8" t="s">
        <v>898</v>
      </c>
      <c r="L97" s="7" t="s">
        <v>690</v>
      </c>
      <c r="M97" s="7" t="s">
        <v>586</v>
      </c>
      <c r="N97" s="7" t="s">
        <v>70</v>
      </c>
      <c r="O97" s="7" t="s">
        <v>1079</v>
      </c>
      <c r="P97" s="7" t="s">
        <v>71</v>
      </c>
      <c r="Q97" s="7" t="s">
        <v>1079</v>
      </c>
      <c r="R97" s="7" t="s">
        <v>894</v>
      </c>
      <c r="S97" s="7"/>
      <c r="T97" s="7"/>
      <c r="U97" s="7" t="s">
        <v>74</v>
      </c>
      <c r="V97" s="7"/>
      <c r="W97" s="7"/>
      <c r="X97" s="7"/>
      <c r="Y97" s="61">
        <v>28084540.579999998</v>
      </c>
      <c r="Z97" s="61"/>
      <c r="AA97" s="45"/>
      <c r="AB97" s="17"/>
      <c r="AC97" s="17"/>
      <c r="AD97" s="7"/>
      <c r="AE97" s="7"/>
      <c r="AF97" s="7"/>
      <c r="AG97" s="14"/>
      <c r="AH97" s="14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12"/>
      <c r="BH97" s="12"/>
      <c r="BI97" s="12"/>
      <c r="BJ97" s="12"/>
      <c r="BK97" s="12"/>
      <c r="BL97" s="12"/>
      <c r="BM97" s="12"/>
      <c r="BN97" s="12"/>
      <c r="BO97" s="12"/>
      <c r="BP97" s="12"/>
      <c r="BQ97" s="12"/>
      <c r="BR97" s="12"/>
      <c r="BS97" s="12"/>
      <c r="BT97" s="12"/>
      <c r="BU97" s="12"/>
      <c r="BV97" s="12"/>
      <c r="BW97" s="12"/>
      <c r="BX97" s="12"/>
      <c r="BY97" s="12"/>
      <c r="BZ97" s="12"/>
      <c r="CA97" s="12"/>
      <c r="CB97" s="12"/>
      <c r="CC97" s="12"/>
      <c r="CD97" s="12"/>
      <c r="CE97" s="12"/>
      <c r="CF97" s="12"/>
      <c r="CG97" s="12"/>
      <c r="CH97" s="12"/>
      <c r="CI97" s="12"/>
      <c r="CJ97" s="12"/>
      <c r="CK97" s="12"/>
      <c r="CL97" s="12"/>
      <c r="CM97" s="12"/>
      <c r="CN97" s="12"/>
      <c r="CO97" s="12"/>
      <c r="CP97" s="12"/>
      <c r="CQ97" s="12"/>
      <c r="CR97" s="12"/>
      <c r="CS97" s="12"/>
      <c r="CT97" s="12"/>
      <c r="CU97" s="12"/>
      <c r="CV97" s="12"/>
      <c r="CW97" s="12"/>
      <c r="CX97" s="12"/>
      <c r="CY97" s="12"/>
      <c r="CZ97" s="12"/>
      <c r="DA97" s="12"/>
      <c r="DB97" s="12"/>
      <c r="DC97" s="12"/>
      <c r="DD97" s="12"/>
      <c r="DE97" s="12"/>
      <c r="DF97" s="12"/>
      <c r="DG97" s="12"/>
      <c r="DH97" s="12"/>
      <c r="DI97" s="12"/>
      <c r="DJ97" s="12"/>
      <c r="DK97" s="12"/>
      <c r="DL97" s="12"/>
      <c r="DM97" s="12"/>
      <c r="DN97" s="12"/>
      <c r="DO97" s="12"/>
      <c r="DP97" s="12"/>
      <c r="DQ97" s="12"/>
      <c r="DR97" s="12"/>
      <c r="DS97" s="12"/>
      <c r="DT97" s="12"/>
      <c r="DU97" s="12"/>
      <c r="DV97" s="12"/>
      <c r="DW97" s="12"/>
      <c r="DX97" s="12"/>
      <c r="DY97" s="12"/>
      <c r="DZ97" s="12"/>
      <c r="EA97" s="12"/>
      <c r="EB97" s="12"/>
      <c r="EC97" s="12"/>
      <c r="ED97" s="12"/>
      <c r="EE97" s="12"/>
      <c r="EF97" s="12"/>
      <c r="EG97" s="12"/>
      <c r="EH97" s="12"/>
      <c r="EI97" s="12"/>
      <c r="EJ97" s="12"/>
      <c r="EK97" s="12"/>
      <c r="EL97" s="12"/>
      <c r="EM97" s="12"/>
      <c r="EN97" s="12"/>
      <c r="EO97" s="12"/>
      <c r="EP97" s="12"/>
      <c r="EQ97" s="12"/>
      <c r="ER97" s="12"/>
      <c r="ES97" s="12"/>
      <c r="ET97" s="12"/>
      <c r="EU97" s="12"/>
      <c r="EV97" s="12"/>
      <c r="EW97" s="12"/>
      <c r="EX97" s="12"/>
      <c r="EY97" s="12"/>
      <c r="EZ97" s="12"/>
      <c r="FA97" s="12"/>
      <c r="FB97" s="12"/>
      <c r="FC97" s="12"/>
      <c r="FD97" s="12"/>
      <c r="FE97" s="12"/>
      <c r="FF97" s="12"/>
      <c r="FG97" s="12"/>
      <c r="FH97" s="12"/>
      <c r="FI97" s="12"/>
      <c r="FJ97" s="12"/>
      <c r="FK97" s="12"/>
      <c r="FL97" s="12"/>
      <c r="FM97" s="12"/>
      <c r="FN97" s="12"/>
      <c r="FO97" s="12"/>
      <c r="FP97" s="12"/>
      <c r="FQ97" s="12"/>
      <c r="FR97" s="12"/>
      <c r="FS97" s="12"/>
      <c r="FT97" s="12"/>
      <c r="FU97" s="12"/>
      <c r="FV97" s="12"/>
      <c r="FW97" s="12"/>
      <c r="FX97" s="12"/>
      <c r="FY97" s="12"/>
      <c r="FZ97" s="12"/>
      <c r="GA97" s="12"/>
      <c r="GB97" s="12"/>
      <c r="GC97" s="12"/>
      <c r="GD97" s="12"/>
      <c r="GE97" s="12"/>
      <c r="GF97" s="12"/>
    </row>
    <row r="98" spans="1:188" ht="15.75" customHeight="1" x14ac:dyDescent="0.35">
      <c r="A98" s="5" t="s">
        <v>899</v>
      </c>
      <c r="B98" s="29"/>
      <c r="C98" s="7">
        <v>97</v>
      </c>
      <c r="D98" s="7" t="s">
        <v>900</v>
      </c>
      <c r="E98" s="11" t="s">
        <v>901</v>
      </c>
      <c r="F98" s="8" t="s">
        <v>902</v>
      </c>
      <c r="G98" s="8"/>
      <c r="H98" s="7" t="s">
        <v>903</v>
      </c>
      <c r="I98" s="7" t="s">
        <v>904</v>
      </c>
      <c r="J98" s="8" t="s">
        <v>905</v>
      </c>
      <c r="K98" s="8" t="s">
        <v>906</v>
      </c>
      <c r="L98" s="7" t="s">
        <v>690</v>
      </c>
      <c r="M98" s="7" t="s">
        <v>907</v>
      </c>
      <c r="N98" s="7" t="s">
        <v>70</v>
      </c>
      <c r="O98" s="7" t="s">
        <v>1079</v>
      </c>
      <c r="P98" s="7"/>
      <c r="Q98" s="7" t="s">
        <v>1079</v>
      </c>
      <c r="R98" s="7"/>
      <c r="S98" s="7"/>
      <c r="T98" s="7"/>
      <c r="U98" s="7"/>
      <c r="V98" s="7"/>
      <c r="W98" s="7"/>
      <c r="X98" s="7"/>
      <c r="Y98" s="61">
        <v>506970</v>
      </c>
      <c r="Z98" s="61"/>
      <c r="AA98" s="45"/>
      <c r="AB98" s="17"/>
      <c r="AC98" s="17"/>
      <c r="AD98" s="7"/>
      <c r="AE98" s="7"/>
      <c r="AF98" s="7"/>
      <c r="AG98" s="14"/>
      <c r="AH98" s="14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12"/>
      <c r="BH98" s="12"/>
      <c r="BI98" s="12"/>
      <c r="BJ98" s="12"/>
      <c r="BK98" s="12"/>
      <c r="BL98" s="12"/>
      <c r="BM98" s="12"/>
      <c r="BN98" s="12"/>
      <c r="BO98" s="12"/>
      <c r="BP98" s="12"/>
      <c r="BQ98" s="12"/>
      <c r="BR98" s="12"/>
      <c r="BS98" s="12"/>
      <c r="BT98" s="12"/>
      <c r="BU98" s="12"/>
      <c r="BV98" s="12"/>
      <c r="BW98" s="12"/>
      <c r="BX98" s="12"/>
      <c r="BY98" s="12"/>
      <c r="BZ98" s="12"/>
      <c r="CA98" s="12"/>
      <c r="CB98" s="12"/>
      <c r="CC98" s="12"/>
      <c r="CD98" s="12"/>
      <c r="CE98" s="12"/>
      <c r="CF98" s="12"/>
      <c r="CG98" s="12"/>
      <c r="CH98" s="12"/>
      <c r="CI98" s="12"/>
      <c r="CJ98" s="12"/>
      <c r="CK98" s="12"/>
      <c r="CL98" s="12"/>
      <c r="CM98" s="12"/>
      <c r="CN98" s="12"/>
      <c r="CO98" s="12"/>
      <c r="CP98" s="12"/>
      <c r="CQ98" s="12"/>
      <c r="CR98" s="12"/>
      <c r="CS98" s="12"/>
      <c r="CT98" s="12"/>
      <c r="CU98" s="12"/>
      <c r="CV98" s="12"/>
      <c r="CW98" s="12"/>
      <c r="CX98" s="12"/>
      <c r="CY98" s="12"/>
      <c r="CZ98" s="12"/>
      <c r="DA98" s="12"/>
      <c r="DB98" s="12"/>
      <c r="DC98" s="12"/>
      <c r="DD98" s="12"/>
      <c r="DE98" s="12"/>
      <c r="DF98" s="12"/>
      <c r="DG98" s="12"/>
      <c r="DH98" s="12"/>
      <c r="DI98" s="12"/>
      <c r="DJ98" s="12"/>
      <c r="DK98" s="12"/>
      <c r="DL98" s="12"/>
      <c r="DM98" s="12"/>
      <c r="DN98" s="12"/>
      <c r="DO98" s="12"/>
      <c r="DP98" s="12"/>
      <c r="DQ98" s="12"/>
      <c r="DR98" s="12"/>
      <c r="DS98" s="12"/>
      <c r="DT98" s="12"/>
      <c r="DU98" s="12"/>
      <c r="DV98" s="12"/>
      <c r="DW98" s="12"/>
      <c r="DX98" s="12"/>
      <c r="DY98" s="12"/>
      <c r="DZ98" s="12"/>
      <c r="EA98" s="12"/>
      <c r="EB98" s="12"/>
      <c r="EC98" s="12"/>
      <c r="ED98" s="12"/>
      <c r="EE98" s="12"/>
      <c r="EF98" s="12"/>
      <c r="EG98" s="12"/>
      <c r="EH98" s="12"/>
      <c r="EI98" s="12"/>
      <c r="EJ98" s="12"/>
      <c r="EK98" s="12"/>
      <c r="EL98" s="12"/>
      <c r="EM98" s="12"/>
      <c r="EN98" s="12"/>
      <c r="EO98" s="12"/>
      <c r="EP98" s="12"/>
      <c r="EQ98" s="12"/>
      <c r="ER98" s="12"/>
      <c r="ES98" s="12"/>
      <c r="ET98" s="12"/>
      <c r="EU98" s="12"/>
      <c r="EV98" s="12"/>
      <c r="EW98" s="12"/>
      <c r="EX98" s="12"/>
      <c r="EY98" s="12"/>
      <c r="EZ98" s="12"/>
      <c r="FA98" s="12"/>
      <c r="FB98" s="12"/>
      <c r="FC98" s="12"/>
      <c r="FD98" s="12"/>
      <c r="FE98" s="12"/>
      <c r="FF98" s="12"/>
      <c r="FG98" s="12"/>
      <c r="FH98" s="12"/>
      <c r="FI98" s="12"/>
      <c r="FJ98" s="12"/>
      <c r="FK98" s="12"/>
      <c r="FL98" s="12"/>
      <c r="FM98" s="12"/>
      <c r="FN98" s="12"/>
      <c r="FO98" s="12"/>
      <c r="FP98" s="12"/>
      <c r="FQ98" s="12"/>
      <c r="FR98" s="12"/>
      <c r="FS98" s="12"/>
      <c r="FT98" s="12"/>
      <c r="FU98" s="12"/>
      <c r="FV98" s="12"/>
      <c r="FW98" s="12"/>
      <c r="FX98" s="12"/>
      <c r="FY98" s="12"/>
      <c r="FZ98" s="12"/>
      <c r="GA98" s="12"/>
      <c r="GB98" s="12"/>
      <c r="GC98" s="12"/>
      <c r="GD98" s="12"/>
      <c r="GE98" s="12"/>
      <c r="GF98" s="12"/>
    </row>
    <row r="99" spans="1:188" ht="15.75" customHeight="1" x14ac:dyDescent="0.35">
      <c r="A99" s="5" t="s">
        <v>908</v>
      </c>
      <c r="B99" s="70"/>
      <c r="C99" s="7">
        <v>98</v>
      </c>
      <c r="D99" s="7" t="s">
        <v>68</v>
      </c>
      <c r="E99" s="11" t="s">
        <v>909</v>
      </c>
      <c r="F99" s="8" t="s">
        <v>910</v>
      </c>
      <c r="G99" s="8"/>
      <c r="H99" s="7" t="s">
        <v>911</v>
      </c>
      <c r="I99" s="7" t="s">
        <v>912</v>
      </c>
      <c r="J99" s="8" t="s">
        <v>913</v>
      </c>
      <c r="K99" s="8" t="s">
        <v>914</v>
      </c>
      <c r="L99" s="7" t="s">
        <v>247</v>
      </c>
      <c r="M99" s="7" t="s">
        <v>68</v>
      </c>
      <c r="N99" s="7" t="s">
        <v>70</v>
      </c>
      <c r="O99" s="7" t="s">
        <v>1079</v>
      </c>
      <c r="P99" s="7"/>
      <c r="Q99" s="7" t="s">
        <v>1079</v>
      </c>
      <c r="R99" s="7" t="s">
        <v>71</v>
      </c>
      <c r="S99" s="58">
        <v>45870</v>
      </c>
      <c r="T99" s="7" t="s">
        <v>915</v>
      </c>
      <c r="U99" s="7"/>
      <c r="V99" s="7"/>
      <c r="W99" s="7"/>
      <c r="X99" s="7"/>
      <c r="Y99" s="61">
        <v>62351.32</v>
      </c>
      <c r="Z99" s="61"/>
      <c r="AA99" s="45"/>
      <c r="AB99" s="17"/>
      <c r="AC99" s="17"/>
      <c r="AD99" s="7"/>
      <c r="AE99" s="7"/>
      <c r="AF99" s="7"/>
      <c r="AG99" s="14"/>
      <c r="AH99" s="14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12"/>
      <c r="BH99" s="12"/>
      <c r="BI99" s="12"/>
      <c r="BJ99" s="12"/>
      <c r="BK99" s="12"/>
      <c r="BL99" s="12"/>
      <c r="BM99" s="12"/>
      <c r="BN99" s="12"/>
      <c r="BO99" s="12"/>
      <c r="BP99" s="12"/>
      <c r="BQ99" s="12"/>
      <c r="BR99" s="12"/>
      <c r="BS99" s="12"/>
      <c r="BT99" s="12"/>
      <c r="BU99" s="12"/>
      <c r="BV99" s="12"/>
      <c r="BW99" s="12"/>
      <c r="BX99" s="12"/>
      <c r="BY99" s="12"/>
      <c r="BZ99" s="12"/>
      <c r="CA99" s="12"/>
      <c r="CB99" s="12"/>
      <c r="CC99" s="12"/>
      <c r="CD99" s="12"/>
      <c r="CE99" s="12"/>
      <c r="CF99" s="12"/>
      <c r="CG99" s="12"/>
      <c r="CH99" s="12"/>
      <c r="CI99" s="12"/>
      <c r="CJ99" s="12"/>
      <c r="CK99" s="12"/>
      <c r="CL99" s="12"/>
      <c r="CM99" s="12"/>
      <c r="CN99" s="12"/>
      <c r="CO99" s="12"/>
      <c r="CP99" s="12"/>
      <c r="CQ99" s="12"/>
      <c r="CR99" s="12"/>
      <c r="CS99" s="12"/>
      <c r="CT99" s="12"/>
      <c r="CU99" s="12"/>
      <c r="CV99" s="12"/>
      <c r="CW99" s="12"/>
      <c r="CX99" s="12"/>
      <c r="CY99" s="12"/>
      <c r="CZ99" s="12"/>
      <c r="DA99" s="12"/>
      <c r="DB99" s="12"/>
      <c r="DC99" s="12"/>
      <c r="DD99" s="12"/>
      <c r="DE99" s="12"/>
      <c r="DF99" s="12"/>
      <c r="DG99" s="12"/>
      <c r="DH99" s="12"/>
      <c r="DI99" s="12"/>
      <c r="DJ99" s="12"/>
      <c r="DK99" s="12"/>
      <c r="DL99" s="12"/>
      <c r="DM99" s="12"/>
      <c r="DN99" s="12"/>
      <c r="DO99" s="12"/>
      <c r="DP99" s="12"/>
      <c r="DQ99" s="12"/>
      <c r="DR99" s="12"/>
      <c r="DS99" s="12"/>
      <c r="DT99" s="12"/>
      <c r="DU99" s="12"/>
      <c r="DV99" s="12"/>
      <c r="DW99" s="12"/>
      <c r="DX99" s="12"/>
      <c r="DY99" s="12"/>
      <c r="DZ99" s="12"/>
      <c r="EA99" s="12"/>
      <c r="EB99" s="12"/>
      <c r="EC99" s="12"/>
      <c r="ED99" s="12"/>
      <c r="EE99" s="12"/>
      <c r="EF99" s="12"/>
      <c r="EG99" s="12"/>
      <c r="EH99" s="12"/>
      <c r="EI99" s="12"/>
      <c r="EJ99" s="12"/>
      <c r="EK99" s="12"/>
      <c r="EL99" s="12"/>
      <c r="EM99" s="12"/>
      <c r="EN99" s="12"/>
      <c r="EO99" s="12"/>
      <c r="EP99" s="12"/>
      <c r="EQ99" s="12"/>
      <c r="ER99" s="12"/>
      <c r="ES99" s="12"/>
      <c r="ET99" s="12"/>
      <c r="EU99" s="12"/>
      <c r="EV99" s="12"/>
      <c r="EW99" s="12"/>
      <c r="EX99" s="12"/>
      <c r="EY99" s="12"/>
      <c r="EZ99" s="12"/>
      <c r="FA99" s="12"/>
      <c r="FB99" s="12"/>
      <c r="FC99" s="12"/>
      <c r="FD99" s="12"/>
      <c r="FE99" s="12"/>
      <c r="FF99" s="12"/>
      <c r="FG99" s="12"/>
      <c r="FH99" s="12"/>
      <c r="FI99" s="12"/>
      <c r="FJ99" s="12"/>
      <c r="FK99" s="12"/>
      <c r="FL99" s="12"/>
      <c r="FM99" s="12"/>
      <c r="FN99" s="12"/>
      <c r="FO99" s="12"/>
      <c r="FP99" s="12"/>
      <c r="FQ99" s="12"/>
      <c r="FR99" s="12"/>
      <c r="FS99" s="12"/>
      <c r="FT99" s="12"/>
      <c r="FU99" s="12"/>
      <c r="FV99" s="12"/>
      <c r="FW99" s="12"/>
      <c r="FX99" s="12"/>
      <c r="FY99" s="12"/>
      <c r="FZ99" s="12"/>
      <c r="GA99" s="12"/>
      <c r="GB99" s="12"/>
      <c r="GC99" s="12"/>
      <c r="GD99" s="12"/>
      <c r="GE99" s="12"/>
      <c r="GF99" s="12"/>
    </row>
    <row r="100" spans="1:188" ht="15.75" customHeight="1" x14ac:dyDescent="0.35">
      <c r="A100" s="5" t="s">
        <v>916</v>
      </c>
      <c r="B100" s="70"/>
      <c r="C100" s="7">
        <v>99</v>
      </c>
      <c r="D100" s="7" t="s">
        <v>107</v>
      </c>
      <c r="E100" s="11" t="s">
        <v>917</v>
      </c>
      <c r="F100" s="8" t="s">
        <v>918</v>
      </c>
      <c r="G100" s="8"/>
      <c r="H100" s="7" t="s">
        <v>919</v>
      </c>
      <c r="I100" s="7" t="s">
        <v>920</v>
      </c>
      <c r="J100" s="8" t="s">
        <v>921</v>
      </c>
      <c r="K100" s="8" t="s">
        <v>922</v>
      </c>
      <c r="L100" s="7" t="s">
        <v>247</v>
      </c>
      <c r="M100" s="7" t="s">
        <v>107</v>
      </c>
      <c r="N100" s="7" t="s">
        <v>70</v>
      </c>
      <c r="O100" s="7" t="s">
        <v>1079</v>
      </c>
      <c r="P100" s="7"/>
      <c r="Q100" s="7" t="s">
        <v>1079</v>
      </c>
      <c r="R100" s="7"/>
      <c r="S100" s="58">
        <v>45870</v>
      </c>
      <c r="T100" s="7" t="s">
        <v>923</v>
      </c>
      <c r="U100" s="7"/>
      <c r="V100" s="7"/>
      <c r="W100" s="7"/>
      <c r="X100" s="7"/>
      <c r="Y100" s="61">
        <v>62079.6</v>
      </c>
      <c r="Z100" s="61"/>
      <c r="AA100" s="45"/>
      <c r="AB100" s="17"/>
      <c r="AC100" s="17"/>
      <c r="AD100" s="7"/>
      <c r="AE100" s="7"/>
      <c r="AF100" s="7"/>
      <c r="AG100" s="14"/>
      <c r="AH100" s="14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12"/>
      <c r="BH100" s="12"/>
      <c r="BI100" s="12"/>
      <c r="BJ100" s="12"/>
      <c r="BK100" s="12"/>
      <c r="BL100" s="12"/>
      <c r="BM100" s="12"/>
      <c r="BN100" s="12"/>
      <c r="BO100" s="12"/>
      <c r="BP100" s="12"/>
      <c r="BQ100" s="12"/>
      <c r="BR100" s="12"/>
      <c r="BS100" s="12"/>
      <c r="BT100" s="12"/>
      <c r="BU100" s="12"/>
      <c r="BV100" s="12"/>
      <c r="BW100" s="12"/>
      <c r="BX100" s="12"/>
      <c r="BY100" s="12"/>
      <c r="BZ100" s="12"/>
      <c r="CA100" s="12"/>
      <c r="CB100" s="12"/>
      <c r="CC100" s="12"/>
      <c r="CD100" s="12"/>
      <c r="CE100" s="12"/>
      <c r="CF100" s="12"/>
      <c r="CG100" s="12"/>
      <c r="CH100" s="12"/>
      <c r="CI100" s="12"/>
      <c r="CJ100" s="12"/>
      <c r="CK100" s="12"/>
      <c r="CL100" s="12"/>
      <c r="CM100" s="12"/>
      <c r="CN100" s="12"/>
      <c r="CO100" s="12"/>
      <c r="CP100" s="12"/>
      <c r="CQ100" s="12"/>
      <c r="CR100" s="12"/>
      <c r="CS100" s="12"/>
      <c r="CT100" s="12"/>
      <c r="CU100" s="12"/>
      <c r="CV100" s="12"/>
      <c r="CW100" s="12"/>
      <c r="CX100" s="12"/>
      <c r="CY100" s="12"/>
      <c r="CZ100" s="12"/>
      <c r="DA100" s="12"/>
      <c r="DB100" s="12"/>
      <c r="DC100" s="12"/>
      <c r="DD100" s="12"/>
      <c r="DE100" s="12"/>
      <c r="DF100" s="12"/>
      <c r="DG100" s="12"/>
      <c r="DH100" s="12"/>
      <c r="DI100" s="12"/>
      <c r="DJ100" s="12"/>
      <c r="DK100" s="12"/>
      <c r="DL100" s="12"/>
      <c r="DM100" s="12"/>
      <c r="DN100" s="12"/>
      <c r="DO100" s="12"/>
      <c r="DP100" s="12"/>
      <c r="DQ100" s="12"/>
      <c r="DR100" s="12"/>
      <c r="DS100" s="12"/>
      <c r="DT100" s="12"/>
      <c r="DU100" s="12"/>
      <c r="DV100" s="12"/>
      <c r="DW100" s="12"/>
      <c r="DX100" s="12"/>
      <c r="DY100" s="12"/>
      <c r="DZ100" s="12"/>
      <c r="EA100" s="12"/>
      <c r="EB100" s="12"/>
      <c r="EC100" s="12"/>
      <c r="ED100" s="12"/>
      <c r="EE100" s="12"/>
      <c r="EF100" s="12"/>
      <c r="EG100" s="12"/>
      <c r="EH100" s="12"/>
      <c r="EI100" s="12"/>
      <c r="EJ100" s="12"/>
      <c r="EK100" s="12"/>
      <c r="EL100" s="12"/>
      <c r="EM100" s="12"/>
      <c r="EN100" s="12"/>
      <c r="EO100" s="12"/>
      <c r="EP100" s="12"/>
      <c r="EQ100" s="12"/>
      <c r="ER100" s="12"/>
      <c r="ES100" s="12"/>
      <c r="ET100" s="12"/>
      <c r="EU100" s="12"/>
      <c r="EV100" s="12"/>
      <c r="EW100" s="12"/>
      <c r="EX100" s="12"/>
      <c r="EY100" s="12"/>
      <c r="EZ100" s="12"/>
      <c r="FA100" s="12"/>
      <c r="FB100" s="12"/>
      <c r="FC100" s="12"/>
      <c r="FD100" s="12"/>
      <c r="FE100" s="12"/>
      <c r="FF100" s="12"/>
      <c r="FG100" s="12"/>
      <c r="FH100" s="12"/>
      <c r="FI100" s="12"/>
      <c r="FJ100" s="12"/>
      <c r="FK100" s="12"/>
      <c r="FL100" s="12"/>
      <c r="FM100" s="12"/>
      <c r="FN100" s="12"/>
      <c r="FO100" s="12"/>
      <c r="FP100" s="12"/>
      <c r="FQ100" s="12"/>
      <c r="FR100" s="12"/>
      <c r="FS100" s="12"/>
      <c r="FT100" s="12"/>
      <c r="FU100" s="12"/>
      <c r="FV100" s="12"/>
      <c r="FW100" s="12"/>
      <c r="FX100" s="12"/>
      <c r="FY100" s="12"/>
      <c r="FZ100" s="12"/>
      <c r="GA100" s="12"/>
      <c r="GB100" s="12"/>
      <c r="GC100" s="12"/>
      <c r="GD100" s="12"/>
      <c r="GE100" s="12"/>
      <c r="GF100" s="12"/>
    </row>
    <row r="101" spans="1:188" ht="15.75" customHeight="1" x14ac:dyDescent="0.35">
      <c r="A101" s="5" t="s">
        <v>924</v>
      </c>
      <c r="B101" s="70"/>
      <c r="C101" s="7">
        <v>100</v>
      </c>
      <c r="D101" s="71" t="s">
        <v>204</v>
      </c>
      <c r="E101" s="11" t="s">
        <v>925</v>
      </c>
      <c r="F101" s="8" t="s">
        <v>926</v>
      </c>
      <c r="G101" s="8"/>
      <c r="H101" s="7"/>
      <c r="I101" s="7"/>
      <c r="J101" s="8" t="s">
        <v>927</v>
      </c>
      <c r="K101" s="8"/>
      <c r="L101" s="7" t="s">
        <v>247</v>
      </c>
      <c r="M101" s="7" t="s">
        <v>204</v>
      </c>
      <c r="N101" s="7" t="s">
        <v>70</v>
      </c>
      <c r="O101" s="7" t="s">
        <v>1079</v>
      </c>
      <c r="P101" s="7"/>
      <c r="Q101" s="7" t="s">
        <v>1079</v>
      </c>
      <c r="R101" s="7"/>
      <c r="S101" s="58">
        <v>45778</v>
      </c>
      <c r="T101" s="7" t="s">
        <v>928</v>
      </c>
      <c r="U101" s="7"/>
      <c r="V101" s="7"/>
      <c r="W101" s="7"/>
      <c r="X101" s="7"/>
      <c r="Y101" s="61">
        <v>892499.97</v>
      </c>
      <c r="Z101" s="61">
        <v>297499.99</v>
      </c>
      <c r="AA101" s="45"/>
      <c r="AB101" s="17"/>
      <c r="AC101" s="17"/>
      <c r="AD101" s="7"/>
      <c r="AE101" s="7"/>
      <c r="AF101" s="7"/>
      <c r="AG101" s="14"/>
      <c r="AH101" s="14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12"/>
      <c r="BH101" s="12"/>
      <c r="BI101" s="12"/>
      <c r="BJ101" s="12"/>
      <c r="BK101" s="12"/>
      <c r="BL101" s="12"/>
      <c r="BM101" s="12"/>
      <c r="BN101" s="12"/>
      <c r="BO101" s="12"/>
      <c r="BP101" s="12"/>
      <c r="BQ101" s="12"/>
      <c r="BR101" s="12"/>
      <c r="BS101" s="12"/>
      <c r="BT101" s="12"/>
      <c r="BU101" s="12"/>
      <c r="BV101" s="12"/>
      <c r="BW101" s="12"/>
      <c r="BX101" s="12"/>
      <c r="BY101" s="12"/>
      <c r="BZ101" s="12"/>
      <c r="CA101" s="12"/>
      <c r="CB101" s="12"/>
      <c r="CC101" s="12"/>
      <c r="CD101" s="12"/>
      <c r="CE101" s="12"/>
      <c r="CF101" s="12"/>
      <c r="CG101" s="12"/>
      <c r="CH101" s="12"/>
      <c r="CI101" s="12"/>
      <c r="CJ101" s="12"/>
      <c r="CK101" s="12"/>
      <c r="CL101" s="12"/>
      <c r="CM101" s="12"/>
      <c r="CN101" s="12"/>
      <c r="CO101" s="12"/>
      <c r="CP101" s="12"/>
      <c r="CQ101" s="12"/>
      <c r="CR101" s="12"/>
      <c r="CS101" s="12"/>
      <c r="CT101" s="12"/>
      <c r="CU101" s="12"/>
      <c r="CV101" s="12"/>
      <c r="CW101" s="12"/>
      <c r="CX101" s="12"/>
      <c r="CY101" s="12"/>
      <c r="CZ101" s="12"/>
      <c r="DA101" s="12"/>
      <c r="DB101" s="12"/>
      <c r="DC101" s="12"/>
      <c r="DD101" s="12"/>
      <c r="DE101" s="12"/>
      <c r="DF101" s="12"/>
      <c r="DG101" s="12"/>
      <c r="DH101" s="12"/>
      <c r="DI101" s="12"/>
      <c r="DJ101" s="12"/>
      <c r="DK101" s="12"/>
      <c r="DL101" s="12"/>
      <c r="DM101" s="12"/>
      <c r="DN101" s="12"/>
      <c r="DO101" s="12"/>
      <c r="DP101" s="12"/>
      <c r="DQ101" s="12"/>
      <c r="DR101" s="12"/>
      <c r="DS101" s="12"/>
      <c r="DT101" s="12"/>
      <c r="DU101" s="12"/>
      <c r="DV101" s="12"/>
      <c r="DW101" s="12"/>
      <c r="DX101" s="12"/>
      <c r="DY101" s="12"/>
      <c r="DZ101" s="12"/>
      <c r="EA101" s="12"/>
      <c r="EB101" s="12"/>
      <c r="EC101" s="12"/>
      <c r="ED101" s="12"/>
      <c r="EE101" s="12"/>
      <c r="EF101" s="12"/>
      <c r="EG101" s="12"/>
      <c r="EH101" s="12"/>
      <c r="EI101" s="12"/>
      <c r="EJ101" s="12"/>
      <c r="EK101" s="12"/>
      <c r="EL101" s="12"/>
      <c r="EM101" s="12"/>
      <c r="EN101" s="12"/>
      <c r="EO101" s="12"/>
      <c r="EP101" s="12"/>
      <c r="EQ101" s="12"/>
      <c r="ER101" s="12"/>
      <c r="ES101" s="12"/>
      <c r="ET101" s="12"/>
      <c r="EU101" s="12"/>
      <c r="EV101" s="12"/>
      <c r="EW101" s="12"/>
      <c r="EX101" s="12"/>
      <c r="EY101" s="12"/>
      <c r="EZ101" s="12"/>
      <c r="FA101" s="12"/>
      <c r="FB101" s="12"/>
      <c r="FC101" s="12"/>
      <c r="FD101" s="12"/>
      <c r="FE101" s="12"/>
      <c r="FF101" s="12"/>
      <c r="FG101" s="12"/>
      <c r="FH101" s="12"/>
      <c r="FI101" s="12"/>
      <c r="FJ101" s="12"/>
      <c r="FK101" s="12"/>
      <c r="FL101" s="12"/>
      <c r="FM101" s="12"/>
      <c r="FN101" s="12"/>
      <c r="FO101" s="12"/>
      <c r="FP101" s="12"/>
      <c r="FQ101" s="12"/>
      <c r="FR101" s="12"/>
      <c r="FS101" s="12"/>
      <c r="FT101" s="12"/>
      <c r="FU101" s="12"/>
      <c r="FV101" s="12"/>
      <c r="FW101" s="12"/>
      <c r="FX101" s="12"/>
      <c r="FY101" s="12"/>
      <c r="FZ101" s="12"/>
      <c r="GA101" s="12"/>
      <c r="GB101" s="12"/>
      <c r="GC101" s="12"/>
      <c r="GD101" s="12"/>
      <c r="GE101" s="12"/>
      <c r="GF101" s="12"/>
    </row>
    <row r="102" spans="1:188" ht="15.75" customHeight="1" x14ac:dyDescent="0.35">
      <c r="A102" s="5" t="s">
        <v>929</v>
      </c>
      <c r="B102" s="29"/>
      <c r="C102" s="7">
        <v>101</v>
      </c>
      <c r="D102" s="7" t="s">
        <v>391</v>
      </c>
      <c r="E102" s="11" t="s">
        <v>930</v>
      </c>
      <c r="F102" s="8" t="s">
        <v>931</v>
      </c>
      <c r="G102" s="8"/>
      <c r="H102" s="7"/>
      <c r="I102" s="7"/>
      <c r="J102" s="8" t="s">
        <v>932</v>
      </c>
      <c r="K102" s="8" t="s">
        <v>933</v>
      </c>
      <c r="L102" s="7" t="s">
        <v>247</v>
      </c>
      <c r="M102" s="7" t="s">
        <v>100</v>
      </c>
      <c r="N102" s="7" t="s">
        <v>70</v>
      </c>
      <c r="O102" s="7" t="s">
        <v>1079</v>
      </c>
      <c r="P102" s="7" t="s">
        <v>934</v>
      </c>
      <c r="Q102" s="7" t="s">
        <v>1079</v>
      </c>
      <c r="R102" s="7" t="s">
        <v>934</v>
      </c>
      <c r="S102" s="58">
        <v>45748</v>
      </c>
      <c r="T102" s="7" t="s">
        <v>935</v>
      </c>
      <c r="U102" s="7" t="s">
        <v>795</v>
      </c>
      <c r="V102" s="7"/>
      <c r="W102" s="7"/>
      <c r="X102" s="7"/>
      <c r="Y102" s="61">
        <v>905379</v>
      </c>
      <c r="Z102" s="61"/>
      <c r="AA102" s="45"/>
      <c r="AB102" s="17"/>
      <c r="AC102" s="17"/>
      <c r="AD102" s="7"/>
      <c r="AE102" s="7"/>
      <c r="AF102" s="7"/>
      <c r="AG102" s="14"/>
      <c r="AH102" s="14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12"/>
      <c r="BH102" s="12"/>
      <c r="BI102" s="12"/>
      <c r="BJ102" s="12"/>
      <c r="BK102" s="12"/>
      <c r="BL102" s="12"/>
      <c r="BM102" s="12"/>
      <c r="BN102" s="12"/>
      <c r="BO102" s="12"/>
      <c r="BP102" s="12"/>
      <c r="BQ102" s="12"/>
      <c r="BR102" s="12"/>
      <c r="BS102" s="12"/>
      <c r="BT102" s="12"/>
      <c r="BU102" s="12"/>
      <c r="BV102" s="12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  <c r="EM102" s="12"/>
      <c r="EN102" s="12"/>
      <c r="EO102" s="12"/>
      <c r="EP102" s="12"/>
      <c r="EQ102" s="12"/>
      <c r="ER102" s="12"/>
      <c r="ES102" s="12"/>
      <c r="ET102" s="12"/>
      <c r="EU102" s="12"/>
      <c r="EV102" s="12"/>
      <c r="EW102" s="12"/>
      <c r="EX102" s="12"/>
      <c r="EY102" s="12"/>
      <c r="EZ102" s="12"/>
      <c r="FA102" s="12"/>
      <c r="FB102" s="12"/>
      <c r="FC102" s="12"/>
      <c r="FD102" s="12"/>
      <c r="FE102" s="12"/>
      <c r="FF102" s="12"/>
      <c r="FG102" s="12"/>
      <c r="FH102" s="12"/>
      <c r="FI102" s="12"/>
      <c r="FJ102" s="12"/>
      <c r="FK102" s="12"/>
      <c r="FL102" s="12"/>
      <c r="FM102" s="12"/>
      <c r="FN102" s="12"/>
      <c r="FO102" s="12"/>
      <c r="FP102" s="12"/>
      <c r="FQ102" s="12"/>
      <c r="FR102" s="12"/>
      <c r="FS102" s="12"/>
      <c r="FT102" s="12"/>
      <c r="FU102" s="12"/>
      <c r="FV102" s="12"/>
      <c r="FW102" s="12"/>
      <c r="FX102" s="12"/>
      <c r="FY102" s="12"/>
      <c r="FZ102" s="12"/>
      <c r="GA102" s="12"/>
      <c r="GB102" s="12"/>
      <c r="GC102" s="12"/>
      <c r="GD102" s="12"/>
      <c r="GE102" s="12"/>
      <c r="GF102" s="12"/>
    </row>
    <row r="103" spans="1:188" ht="15.75" customHeight="1" x14ac:dyDescent="0.35">
      <c r="A103" s="5" t="s">
        <v>936</v>
      </c>
      <c r="B103" s="29"/>
      <c r="C103" s="7">
        <v>102</v>
      </c>
      <c r="D103" s="7" t="s">
        <v>907</v>
      </c>
      <c r="E103" s="11" t="s">
        <v>937</v>
      </c>
      <c r="F103" s="8" t="s">
        <v>938</v>
      </c>
      <c r="G103" s="8"/>
      <c r="H103" s="7" t="s">
        <v>939</v>
      </c>
      <c r="I103" s="7" t="s">
        <v>940</v>
      </c>
      <c r="J103" s="8" t="s">
        <v>941</v>
      </c>
      <c r="K103" s="8" t="s">
        <v>942</v>
      </c>
      <c r="L103" s="7" t="s">
        <v>247</v>
      </c>
      <c r="M103" s="7" t="s">
        <v>366</v>
      </c>
      <c r="N103" s="7" t="s">
        <v>70</v>
      </c>
      <c r="O103" s="7" t="s">
        <v>1079</v>
      </c>
      <c r="P103" s="7"/>
      <c r="Q103" s="7" t="s">
        <v>1079</v>
      </c>
      <c r="R103" s="7"/>
      <c r="S103" s="58">
        <v>45778</v>
      </c>
      <c r="T103" s="7" t="s">
        <v>943</v>
      </c>
      <c r="U103" s="7"/>
      <c r="V103" s="7"/>
      <c r="W103" s="7"/>
      <c r="X103" s="7"/>
      <c r="Y103" s="61">
        <v>759002.52</v>
      </c>
      <c r="Z103" s="61"/>
      <c r="AA103" s="45"/>
      <c r="AB103" s="17"/>
      <c r="AC103" s="17"/>
      <c r="AD103" s="7"/>
      <c r="AE103" s="7"/>
      <c r="AF103" s="7"/>
      <c r="AG103" s="14"/>
      <c r="AH103" s="14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12"/>
      <c r="BH103" s="12"/>
      <c r="BI103" s="12"/>
      <c r="BJ103" s="12"/>
      <c r="BK103" s="12"/>
      <c r="BL103" s="12"/>
      <c r="BM103" s="12"/>
      <c r="BN103" s="12"/>
      <c r="BO103" s="12"/>
      <c r="BP103" s="12"/>
      <c r="BQ103" s="12"/>
      <c r="BR103" s="12"/>
      <c r="BS103" s="12"/>
      <c r="BT103" s="12"/>
      <c r="BU103" s="12"/>
      <c r="BV103" s="12"/>
      <c r="BW103" s="12"/>
      <c r="BX103" s="12"/>
      <c r="BY103" s="12"/>
      <c r="BZ103" s="12"/>
      <c r="CA103" s="12"/>
      <c r="CB103" s="12"/>
      <c r="CC103" s="12"/>
      <c r="CD103" s="12"/>
      <c r="CE103" s="12"/>
      <c r="CF103" s="12"/>
      <c r="CG103" s="12"/>
      <c r="CH103" s="12"/>
      <c r="CI103" s="12"/>
      <c r="CJ103" s="12"/>
      <c r="CK103" s="12"/>
      <c r="CL103" s="12"/>
      <c r="CM103" s="12"/>
      <c r="CN103" s="12"/>
      <c r="CO103" s="12"/>
      <c r="CP103" s="12"/>
      <c r="CQ103" s="12"/>
      <c r="CR103" s="12"/>
      <c r="CS103" s="12"/>
      <c r="CT103" s="12"/>
      <c r="CU103" s="12"/>
      <c r="CV103" s="12"/>
      <c r="CW103" s="12"/>
      <c r="CX103" s="12"/>
      <c r="CY103" s="12"/>
      <c r="CZ103" s="12"/>
      <c r="DA103" s="12"/>
      <c r="DB103" s="12"/>
      <c r="DC103" s="12"/>
      <c r="DD103" s="12"/>
      <c r="DE103" s="12"/>
      <c r="DF103" s="12"/>
      <c r="DG103" s="12"/>
      <c r="DH103" s="12"/>
      <c r="DI103" s="12"/>
      <c r="DJ103" s="12"/>
      <c r="DK103" s="12"/>
      <c r="DL103" s="12"/>
      <c r="DM103" s="12"/>
      <c r="DN103" s="12"/>
      <c r="DO103" s="12"/>
      <c r="DP103" s="12"/>
      <c r="DQ103" s="12"/>
      <c r="DR103" s="12"/>
      <c r="DS103" s="12"/>
      <c r="DT103" s="12"/>
      <c r="DU103" s="12"/>
      <c r="DV103" s="12"/>
      <c r="DW103" s="12"/>
      <c r="DX103" s="12"/>
      <c r="DY103" s="12"/>
      <c r="DZ103" s="12"/>
      <c r="EA103" s="12"/>
      <c r="EB103" s="12"/>
      <c r="EC103" s="12"/>
      <c r="ED103" s="12"/>
      <c r="EE103" s="12"/>
      <c r="EF103" s="12"/>
      <c r="EG103" s="12"/>
      <c r="EH103" s="12"/>
      <c r="EI103" s="12"/>
      <c r="EJ103" s="12"/>
      <c r="EK103" s="12"/>
      <c r="EL103" s="12"/>
      <c r="EM103" s="12"/>
      <c r="EN103" s="12"/>
      <c r="EO103" s="12"/>
      <c r="EP103" s="12"/>
      <c r="EQ103" s="12"/>
      <c r="ER103" s="12"/>
      <c r="ES103" s="12"/>
      <c r="ET103" s="12"/>
      <c r="EU103" s="12"/>
      <c r="EV103" s="12"/>
      <c r="EW103" s="12"/>
      <c r="EX103" s="12"/>
      <c r="EY103" s="12"/>
      <c r="EZ103" s="12"/>
      <c r="FA103" s="12"/>
      <c r="FB103" s="12"/>
      <c r="FC103" s="12"/>
      <c r="FD103" s="12"/>
      <c r="FE103" s="12"/>
      <c r="FF103" s="12"/>
      <c r="FG103" s="12"/>
      <c r="FH103" s="12"/>
      <c r="FI103" s="12"/>
      <c r="FJ103" s="12"/>
      <c r="FK103" s="12"/>
      <c r="FL103" s="12"/>
      <c r="FM103" s="12"/>
      <c r="FN103" s="12"/>
      <c r="FO103" s="12"/>
      <c r="FP103" s="12"/>
      <c r="FQ103" s="12"/>
      <c r="FR103" s="12"/>
      <c r="FS103" s="12"/>
      <c r="FT103" s="12"/>
      <c r="FU103" s="12"/>
      <c r="FV103" s="12"/>
      <c r="FW103" s="12"/>
      <c r="FX103" s="12"/>
      <c r="FY103" s="12"/>
      <c r="FZ103" s="12"/>
      <c r="GA103" s="12"/>
      <c r="GB103" s="12"/>
      <c r="GC103" s="12"/>
      <c r="GD103" s="12"/>
      <c r="GE103" s="12"/>
      <c r="GF103" s="12"/>
    </row>
    <row r="104" spans="1:188" ht="15.75" customHeight="1" x14ac:dyDescent="0.35">
      <c r="A104" s="5" t="s">
        <v>944</v>
      </c>
      <c r="B104" s="29"/>
      <c r="C104" s="7">
        <v>103</v>
      </c>
      <c r="D104" s="7" t="s">
        <v>349</v>
      </c>
      <c r="E104" s="11" t="s">
        <v>945</v>
      </c>
      <c r="F104" s="8" t="s">
        <v>946</v>
      </c>
      <c r="G104" s="8"/>
      <c r="H104" s="7" t="s">
        <v>947</v>
      </c>
      <c r="I104" s="7" t="s">
        <v>948</v>
      </c>
      <c r="J104" s="8" t="s">
        <v>949</v>
      </c>
      <c r="K104" s="8" t="s">
        <v>950</v>
      </c>
      <c r="L104" s="7" t="s">
        <v>247</v>
      </c>
      <c r="M104" s="7" t="s">
        <v>375</v>
      </c>
      <c r="N104" s="7" t="s">
        <v>70</v>
      </c>
      <c r="O104" s="7" t="s">
        <v>1079</v>
      </c>
      <c r="P104" s="7"/>
      <c r="Q104" s="7" t="s">
        <v>1079</v>
      </c>
      <c r="R104" s="7" t="s">
        <v>951</v>
      </c>
      <c r="S104" s="58">
        <v>45778</v>
      </c>
      <c r="T104" s="7"/>
      <c r="U104" s="7"/>
      <c r="V104" s="7"/>
      <c r="W104" s="7"/>
      <c r="X104" s="7"/>
      <c r="Y104" s="61">
        <v>52559.5</v>
      </c>
      <c r="Z104" s="61"/>
      <c r="AA104" s="45"/>
      <c r="AB104" s="17"/>
      <c r="AC104" s="17"/>
      <c r="AD104" s="7"/>
      <c r="AE104" s="7"/>
      <c r="AF104" s="7"/>
      <c r="AG104" s="14"/>
      <c r="AH104" s="14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12"/>
      <c r="BH104" s="12"/>
      <c r="BI104" s="12"/>
      <c r="BJ104" s="12"/>
      <c r="BK104" s="12"/>
      <c r="BL104" s="12"/>
      <c r="BM104" s="12"/>
      <c r="BN104" s="12"/>
      <c r="BO104" s="12"/>
      <c r="BP104" s="12"/>
      <c r="BQ104" s="12"/>
      <c r="BR104" s="12"/>
      <c r="BS104" s="12"/>
      <c r="BT104" s="12"/>
      <c r="BU104" s="12"/>
      <c r="BV104" s="12"/>
      <c r="BW104" s="12"/>
      <c r="BX104" s="12"/>
      <c r="BY104" s="12"/>
      <c r="BZ104" s="12"/>
      <c r="CA104" s="12"/>
      <c r="CB104" s="12"/>
      <c r="CC104" s="12"/>
      <c r="CD104" s="12"/>
      <c r="CE104" s="12"/>
      <c r="CF104" s="12"/>
      <c r="CG104" s="12"/>
      <c r="CH104" s="12"/>
      <c r="CI104" s="12"/>
      <c r="CJ104" s="12"/>
      <c r="CK104" s="12"/>
      <c r="CL104" s="12"/>
      <c r="CM104" s="12"/>
      <c r="CN104" s="12"/>
      <c r="CO104" s="12"/>
      <c r="CP104" s="12"/>
      <c r="CQ104" s="12"/>
      <c r="CR104" s="12"/>
      <c r="CS104" s="12"/>
      <c r="CT104" s="12"/>
      <c r="CU104" s="12"/>
      <c r="CV104" s="12"/>
      <c r="CW104" s="12"/>
      <c r="CX104" s="12"/>
      <c r="CY104" s="12"/>
      <c r="CZ104" s="12"/>
      <c r="DA104" s="12"/>
      <c r="DB104" s="12"/>
      <c r="DC104" s="12"/>
      <c r="DD104" s="12"/>
      <c r="DE104" s="12"/>
      <c r="DF104" s="12"/>
      <c r="DG104" s="12"/>
      <c r="DH104" s="12"/>
      <c r="DI104" s="12"/>
      <c r="DJ104" s="12"/>
      <c r="DK104" s="12"/>
      <c r="DL104" s="12"/>
      <c r="DM104" s="12"/>
      <c r="DN104" s="12"/>
      <c r="DO104" s="12"/>
      <c r="DP104" s="12"/>
      <c r="DQ104" s="12"/>
      <c r="DR104" s="12"/>
      <c r="DS104" s="12"/>
      <c r="DT104" s="12"/>
      <c r="DU104" s="12"/>
      <c r="DV104" s="12"/>
      <c r="DW104" s="12"/>
      <c r="DX104" s="12"/>
      <c r="DY104" s="12"/>
      <c r="DZ104" s="12"/>
      <c r="EA104" s="12"/>
      <c r="EB104" s="12"/>
      <c r="EC104" s="12"/>
      <c r="ED104" s="12"/>
      <c r="EE104" s="12"/>
      <c r="EF104" s="12"/>
      <c r="EG104" s="12"/>
      <c r="EH104" s="12"/>
      <c r="EI104" s="12"/>
      <c r="EJ104" s="12"/>
      <c r="EK104" s="12"/>
      <c r="EL104" s="12"/>
      <c r="EM104" s="12"/>
      <c r="EN104" s="12"/>
      <c r="EO104" s="12"/>
      <c r="EP104" s="12"/>
      <c r="EQ104" s="12"/>
      <c r="ER104" s="12"/>
      <c r="ES104" s="12"/>
      <c r="ET104" s="12"/>
      <c r="EU104" s="12"/>
      <c r="EV104" s="12"/>
      <c r="EW104" s="12"/>
      <c r="EX104" s="12"/>
      <c r="EY104" s="12"/>
      <c r="EZ104" s="12"/>
      <c r="FA104" s="12"/>
      <c r="FB104" s="12"/>
      <c r="FC104" s="12"/>
      <c r="FD104" s="12"/>
      <c r="FE104" s="12"/>
      <c r="FF104" s="12"/>
      <c r="FG104" s="12"/>
      <c r="FH104" s="12"/>
      <c r="FI104" s="12"/>
      <c r="FJ104" s="12"/>
      <c r="FK104" s="12"/>
      <c r="FL104" s="12"/>
      <c r="FM104" s="12"/>
      <c r="FN104" s="12"/>
      <c r="FO104" s="12"/>
      <c r="FP104" s="12"/>
      <c r="FQ104" s="12"/>
      <c r="FR104" s="12"/>
      <c r="FS104" s="12"/>
      <c r="FT104" s="12"/>
      <c r="FU104" s="12"/>
      <c r="FV104" s="12"/>
      <c r="FW104" s="12"/>
      <c r="FX104" s="12"/>
      <c r="FY104" s="12"/>
      <c r="FZ104" s="12"/>
      <c r="GA104" s="12"/>
      <c r="GB104" s="12"/>
      <c r="GC104" s="12"/>
      <c r="GD104" s="12"/>
      <c r="GE104" s="12"/>
      <c r="GF104" s="12"/>
    </row>
    <row r="105" spans="1:188" ht="15.75" customHeight="1" x14ac:dyDescent="0.35">
      <c r="A105" s="5" t="s">
        <v>952</v>
      </c>
      <c r="B105" s="29"/>
      <c r="C105" s="7">
        <v>104</v>
      </c>
      <c r="D105" s="7" t="s">
        <v>722</v>
      </c>
      <c r="E105" s="11" t="s">
        <v>953</v>
      </c>
      <c r="F105" s="8" t="s">
        <v>954</v>
      </c>
      <c r="G105" s="8"/>
      <c r="H105" s="7" t="s">
        <v>955</v>
      </c>
      <c r="I105" s="7" t="s">
        <v>956</v>
      </c>
      <c r="J105" s="8" t="s">
        <v>957</v>
      </c>
      <c r="K105" s="8" t="s">
        <v>958</v>
      </c>
      <c r="L105" s="7" t="s">
        <v>247</v>
      </c>
      <c r="M105" s="7" t="s">
        <v>384</v>
      </c>
      <c r="N105" s="7" t="s">
        <v>70</v>
      </c>
      <c r="O105" s="7" t="s">
        <v>1079</v>
      </c>
      <c r="P105" s="7"/>
      <c r="Q105" s="7" t="s">
        <v>1079</v>
      </c>
      <c r="R105" s="7" t="s">
        <v>71</v>
      </c>
      <c r="S105" s="58">
        <v>45778</v>
      </c>
      <c r="T105" s="7" t="s">
        <v>959</v>
      </c>
      <c r="U105" s="7"/>
      <c r="V105" s="7"/>
      <c r="W105" s="7"/>
      <c r="X105" s="7"/>
      <c r="Y105" s="61"/>
      <c r="Z105" s="61"/>
      <c r="AA105" s="45"/>
      <c r="AB105" s="17"/>
      <c r="AC105" s="17"/>
      <c r="AD105" s="7"/>
      <c r="AE105" s="7"/>
      <c r="AF105" s="7"/>
      <c r="AG105" s="14"/>
      <c r="AH105" s="14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12"/>
      <c r="BH105" s="12"/>
      <c r="BI105" s="12"/>
      <c r="BJ105" s="12"/>
      <c r="BK105" s="12"/>
      <c r="BL105" s="12"/>
      <c r="BM105" s="12"/>
      <c r="BN105" s="12"/>
      <c r="BO105" s="12"/>
      <c r="BP105" s="12"/>
      <c r="BQ105" s="12"/>
      <c r="BR105" s="12"/>
      <c r="BS105" s="12"/>
      <c r="BT105" s="12"/>
      <c r="BU105" s="12"/>
      <c r="BV105" s="12"/>
      <c r="BW105" s="12"/>
      <c r="BX105" s="12"/>
      <c r="BY105" s="12"/>
      <c r="BZ105" s="12"/>
      <c r="CA105" s="12"/>
      <c r="CB105" s="12"/>
      <c r="CC105" s="12"/>
      <c r="CD105" s="12"/>
      <c r="CE105" s="12"/>
      <c r="CF105" s="12"/>
      <c r="CG105" s="12"/>
      <c r="CH105" s="12"/>
      <c r="CI105" s="12"/>
      <c r="CJ105" s="12"/>
      <c r="CK105" s="12"/>
      <c r="CL105" s="12"/>
      <c r="CM105" s="12"/>
      <c r="CN105" s="12"/>
      <c r="CO105" s="12"/>
      <c r="CP105" s="12"/>
      <c r="CQ105" s="12"/>
      <c r="CR105" s="12"/>
      <c r="CS105" s="12"/>
      <c r="CT105" s="12"/>
      <c r="CU105" s="12"/>
      <c r="CV105" s="12"/>
      <c r="CW105" s="12"/>
      <c r="CX105" s="12"/>
      <c r="CY105" s="12"/>
      <c r="CZ105" s="12"/>
      <c r="DA105" s="12"/>
      <c r="DB105" s="12"/>
      <c r="DC105" s="12"/>
      <c r="DD105" s="12"/>
      <c r="DE105" s="12"/>
      <c r="DF105" s="12"/>
      <c r="DG105" s="12"/>
      <c r="DH105" s="12"/>
      <c r="DI105" s="12"/>
      <c r="DJ105" s="12"/>
      <c r="DK105" s="12"/>
      <c r="DL105" s="12"/>
      <c r="DM105" s="12"/>
      <c r="DN105" s="12"/>
      <c r="DO105" s="12"/>
      <c r="DP105" s="12"/>
      <c r="DQ105" s="12"/>
      <c r="DR105" s="12"/>
      <c r="DS105" s="12"/>
      <c r="DT105" s="12"/>
      <c r="DU105" s="12"/>
      <c r="DV105" s="12"/>
      <c r="DW105" s="12"/>
      <c r="DX105" s="12"/>
      <c r="DY105" s="12"/>
      <c r="DZ105" s="12"/>
      <c r="EA105" s="12"/>
      <c r="EB105" s="12"/>
      <c r="EC105" s="12"/>
      <c r="ED105" s="12"/>
      <c r="EE105" s="12"/>
      <c r="EF105" s="12"/>
      <c r="EG105" s="12"/>
      <c r="EH105" s="12"/>
      <c r="EI105" s="12"/>
      <c r="EJ105" s="12"/>
      <c r="EK105" s="12"/>
      <c r="EL105" s="12"/>
      <c r="EM105" s="12"/>
      <c r="EN105" s="12"/>
      <c r="EO105" s="12"/>
      <c r="EP105" s="12"/>
      <c r="EQ105" s="12"/>
      <c r="ER105" s="12"/>
      <c r="ES105" s="12"/>
      <c r="ET105" s="12"/>
      <c r="EU105" s="12"/>
      <c r="EV105" s="12"/>
      <c r="EW105" s="12"/>
      <c r="EX105" s="12"/>
      <c r="EY105" s="12"/>
      <c r="EZ105" s="12"/>
      <c r="FA105" s="12"/>
      <c r="FB105" s="12"/>
      <c r="FC105" s="12"/>
      <c r="FD105" s="12"/>
      <c r="FE105" s="12"/>
      <c r="FF105" s="12"/>
      <c r="FG105" s="12"/>
      <c r="FH105" s="12"/>
      <c r="FI105" s="12"/>
      <c r="FJ105" s="12"/>
      <c r="FK105" s="12"/>
      <c r="FL105" s="12"/>
      <c r="FM105" s="12"/>
      <c r="FN105" s="12"/>
      <c r="FO105" s="12"/>
      <c r="FP105" s="12"/>
      <c r="FQ105" s="12"/>
      <c r="FR105" s="12"/>
      <c r="FS105" s="12"/>
      <c r="FT105" s="12"/>
      <c r="FU105" s="12"/>
      <c r="FV105" s="12"/>
      <c r="FW105" s="12"/>
      <c r="FX105" s="12"/>
      <c r="FY105" s="12"/>
      <c r="FZ105" s="12"/>
      <c r="GA105" s="12"/>
      <c r="GB105" s="12"/>
      <c r="GC105" s="12"/>
      <c r="GD105" s="12"/>
      <c r="GE105" s="12"/>
      <c r="GF105" s="12"/>
    </row>
    <row r="106" spans="1:188" ht="15.75" customHeight="1" x14ac:dyDescent="0.35">
      <c r="A106" s="5" t="s">
        <v>960</v>
      </c>
      <c r="B106" s="29"/>
      <c r="C106" s="7">
        <v>105</v>
      </c>
      <c r="D106" s="7" t="s">
        <v>722</v>
      </c>
      <c r="E106" s="11" t="s">
        <v>953</v>
      </c>
      <c r="F106" s="8" t="s">
        <v>954</v>
      </c>
      <c r="G106" s="8"/>
      <c r="H106" s="7" t="s">
        <v>955</v>
      </c>
      <c r="I106" s="7" t="s">
        <v>956</v>
      </c>
      <c r="J106" s="8" t="s">
        <v>957</v>
      </c>
      <c r="K106" s="8" t="s">
        <v>958</v>
      </c>
      <c r="L106" s="7" t="s">
        <v>247</v>
      </c>
      <c r="M106" s="7" t="s">
        <v>384</v>
      </c>
      <c r="N106" s="7" t="s">
        <v>70</v>
      </c>
      <c r="O106" s="7" t="s">
        <v>1079</v>
      </c>
      <c r="P106" s="7"/>
      <c r="Q106" s="7" t="s">
        <v>1079</v>
      </c>
      <c r="R106" s="7" t="s">
        <v>71</v>
      </c>
      <c r="S106" s="58">
        <v>45778</v>
      </c>
      <c r="T106" s="7" t="s">
        <v>959</v>
      </c>
      <c r="U106" s="7"/>
      <c r="V106" s="7"/>
      <c r="W106" s="7"/>
      <c r="X106" s="7"/>
      <c r="Y106" s="61"/>
      <c r="Z106" s="61"/>
      <c r="AA106" s="45"/>
      <c r="AB106" s="17"/>
      <c r="AC106" s="17"/>
      <c r="AD106" s="7"/>
      <c r="AE106" s="7"/>
      <c r="AF106" s="7"/>
      <c r="AG106" s="14"/>
      <c r="AH106" s="14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12"/>
      <c r="BH106" s="12"/>
      <c r="BI106" s="12"/>
      <c r="BJ106" s="12"/>
      <c r="BK106" s="12"/>
      <c r="BL106" s="12"/>
      <c r="BM106" s="12"/>
      <c r="BN106" s="12"/>
      <c r="BO106" s="12"/>
      <c r="BP106" s="12"/>
      <c r="BQ106" s="12"/>
      <c r="BR106" s="12"/>
      <c r="BS106" s="12"/>
      <c r="BT106" s="12"/>
      <c r="BU106" s="12"/>
      <c r="BV106" s="12"/>
      <c r="BW106" s="12"/>
      <c r="BX106" s="12"/>
      <c r="BY106" s="12"/>
      <c r="BZ106" s="12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  <c r="EM106" s="12"/>
      <c r="EN106" s="12"/>
      <c r="EO106" s="12"/>
      <c r="EP106" s="12"/>
      <c r="EQ106" s="12"/>
      <c r="ER106" s="12"/>
      <c r="ES106" s="12"/>
      <c r="ET106" s="12"/>
      <c r="EU106" s="12"/>
      <c r="EV106" s="12"/>
      <c r="EW106" s="12"/>
      <c r="EX106" s="12"/>
      <c r="EY106" s="12"/>
      <c r="EZ106" s="12"/>
      <c r="FA106" s="12"/>
      <c r="FB106" s="12"/>
      <c r="FC106" s="12"/>
      <c r="FD106" s="12"/>
      <c r="FE106" s="12"/>
      <c r="FF106" s="12"/>
      <c r="FG106" s="12"/>
      <c r="FH106" s="12"/>
      <c r="FI106" s="12"/>
      <c r="FJ106" s="12"/>
      <c r="FK106" s="12"/>
      <c r="FL106" s="12"/>
      <c r="FM106" s="12"/>
      <c r="FN106" s="12"/>
      <c r="FO106" s="12"/>
      <c r="FP106" s="12"/>
      <c r="FQ106" s="12"/>
      <c r="FR106" s="12"/>
      <c r="FS106" s="12"/>
      <c r="FT106" s="12"/>
      <c r="FU106" s="12"/>
      <c r="FV106" s="12"/>
      <c r="FW106" s="12"/>
      <c r="FX106" s="12"/>
      <c r="FY106" s="12"/>
      <c r="FZ106" s="12"/>
      <c r="GA106" s="12"/>
      <c r="GB106" s="12"/>
      <c r="GC106" s="12"/>
      <c r="GD106" s="12"/>
      <c r="GE106" s="12"/>
      <c r="GF106" s="12"/>
    </row>
    <row r="107" spans="1:188" ht="15.75" customHeight="1" x14ac:dyDescent="0.35">
      <c r="A107" s="5" t="s">
        <v>961</v>
      </c>
      <c r="B107" s="29"/>
      <c r="C107" s="7">
        <v>106</v>
      </c>
      <c r="D107" s="7" t="s">
        <v>962</v>
      </c>
      <c r="E107" s="11" t="s">
        <v>963</v>
      </c>
      <c r="F107" s="8" t="s">
        <v>964</v>
      </c>
      <c r="G107" s="8"/>
      <c r="H107" s="7" t="s">
        <v>965</v>
      </c>
      <c r="I107" s="7" t="s">
        <v>966</v>
      </c>
      <c r="J107" s="8" t="s">
        <v>967</v>
      </c>
      <c r="K107" s="8" t="s">
        <v>968</v>
      </c>
      <c r="L107" s="7" t="s">
        <v>247</v>
      </c>
      <c r="M107" s="7" t="s">
        <v>391</v>
      </c>
      <c r="N107" s="7" t="s">
        <v>70</v>
      </c>
      <c r="O107" s="7" t="s">
        <v>1079</v>
      </c>
      <c r="P107" s="7"/>
      <c r="Q107" s="7" t="s">
        <v>1079</v>
      </c>
      <c r="R107" s="7" t="s">
        <v>137</v>
      </c>
      <c r="S107" s="58">
        <v>45809</v>
      </c>
      <c r="T107" s="7" t="s">
        <v>969</v>
      </c>
      <c r="U107" s="7"/>
      <c r="V107" s="7"/>
      <c r="W107" s="7"/>
      <c r="X107" s="7"/>
      <c r="Y107" s="61">
        <v>923853.74</v>
      </c>
      <c r="Z107" s="61"/>
      <c r="AA107" s="45"/>
      <c r="AB107" s="17"/>
      <c r="AC107" s="17"/>
      <c r="AD107" s="7"/>
      <c r="AE107" s="7"/>
      <c r="AF107" s="7"/>
      <c r="AG107" s="14"/>
      <c r="AH107" s="14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12"/>
      <c r="BH107" s="12"/>
      <c r="BI107" s="12"/>
      <c r="BJ107" s="12"/>
      <c r="BK107" s="12"/>
      <c r="BL107" s="12"/>
      <c r="BM107" s="12"/>
      <c r="BN107" s="12"/>
      <c r="BO107" s="12"/>
      <c r="BP107" s="12"/>
      <c r="BQ107" s="12"/>
      <c r="BR107" s="12"/>
      <c r="BS107" s="12"/>
      <c r="BT107" s="12"/>
      <c r="BU107" s="12"/>
      <c r="BV107" s="12"/>
      <c r="BW107" s="12"/>
      <c r="BX107" s="12"/>
      <c r="BY107" s="12"/>
      <c r="BZ107" s="12"/>
      <c r="CA107" s="12"/>
      <c r="CB107" s="12"/>
      <c r="CC107" s="12"/>
      <c r="CD107" s="12"/>
      <c r="CE107" s="12"/>
      <c r="CF107" s="12"/>
      <c r="CG107" s="12"/>
      <c r="CH107" s="12"/>
      <c r="CI107" s="12"/>
      <c r="CJ107" s="12"/>
      <c r="CK107" s="12"/>
      <c r="CL107" s="12"/>
      <c r="CM107" s="12"/>
      <c r="CN107" s="12"/>
      <c r="CO107" s="12"/>
      <c r="CP107" s="12"/>
      <c r="CQ107" s="12"/>
      <c r="CR107" s="12"/>
      <c r="CS107" s="12"/>
      <c r="CT107" s="12"/>
      <c r="CU107" s="12"/>
      <c r="CV107" s="12"/>
      <c r="CW107" s="12"/>
      <c r="CX107" s="12"/>
      <c r="CY107" s="12"/>
      <c r="CZ107" s="12"/>
      <c r="DA107" s="12"/>
      <c r="DB107" s="12"/>
      <c r="DC107" s="12"/>
      <c r="DD107" s="12"/>
      <c r="DE107" s="12"/>
      <c r="DF107" s="12"/>
      <c r="DG107" s="12"/>
      <c r="DH107" s="12"/>
      <c r="DI107" s="12"/>
      <c r="DJ107" s="12"/>
      <c r="DK107" s="12"/>
      <c r="DL107" s="12"/>
      <c r="DM107" s="12"/>
      <c r="DN107" s="12"/>
      <c r="DO107" s="12"/>
      <c r="DP107" s="12"/>
      <c r="DQ107" s="12"/>
      <c r="DR107" s="12"/>
      <c r="DS107" s="12"/>
      <c r="DT107" s="12"/>
      <c r="DU107" s="12"/>
      <c r="DV107" s="12"/>
      <c r="DW107" s="12"/>
      <c r="DX107" s="12"/>
      <c r="DY107" s="12"/>
      <c r="DZ107" s="12"/>
      <c r="EA107" s="12"/>
      <c r="EB107" s="12"/>
      <c r="EC107" s="12"/>
      <c r="ED107" s="12"/>
      <c r="EE107" s="12"/>
      <c r="EF107" s="12"/>
      <c r="EG107" s="12"/>
      <c r="EH107" s="12"/>
      <c r="EI107" s="12"/>
      <c r="EJ107" s="12"/>
      <c r="EK107" s="12"/>
      <c r="EL107" s="12"/>
      <c r="EM107" s="12"/>
      <c r="EN107" s="12"/>
      <c r="EO107" s="12"/>
      <c r="EP107" s="12"/>
      <c r="EQ107" s="12"/>
      <c r="ER107" s="12"/>
      <c r="ES107" s="12"/>
      <c r="ET107" s="12"/>
      <c r="EU107" s="12"/>
      <c r="EV107" s="12"/>
      <c r="EW107" s="12"/>
      <c r="EX107" s="12"/>
      <c r="EY107" s="12"/>
      <c r="EZ107" s="12"/>
      <c r="FA107" s="12"/>
      <c r="FB107" s="12"/>
      <c r="FC107" s="12"/>
      <c r="FD107" s="12"/>
      <c r="FE107" s="12"/>
      <c r="FF107" s="12"/>
      <c r="FG107" s="12"/>
      <c r="FH107" s="12"/>
      <c r="FI107" s="12"/>
      <c r="FJ107" s="12"/>
      <c r="FK107" s="12"/>
      <c r="FL107" s="12"/>
      <c r="FM107" s="12"/>
      <c r="FN107" s="12"/>
      <c r="FO107" s="12"/>
      <c r="FP107" s="12"/>
      <c r="FQ107" s="12"/>
      <c r="FR107" s="12"/>
      <c r="FS107" s="12"/>
      <c r="FT107" s="12"/>
      <c r="FU107" s="12"/>
      <c r="FV107" s="12"/>
      <c r="FW107" s="12"/>
      <c r="FX107" s="12"/>
      <c r="FY107" s="12"/>
      <c r="FZ107" s="12"/>
      <c r="GA107" s="12"/>
      <c r="GB107" s="12"/>
      <c r="GC107" s="12"/>
      <c r="GD107" s="12"/>
      <c r="GE107" s="12"/>
      <c r="GF107" s="12"/>
    </row>
    <row r="108" spans="1:188" ht="15.75" customHeight="1" x14ac:dyDescent="0.35">
      <c r="A108" s="5" t="s">
        <v>970</v>
      </c>
      <c r="B108" s="29"/>
      <c r="C108" s="7">
        <v>107</v>
      </c>
      <c r="D108" s="7" t="s">
        <v>971</v>
      </c>
      <c r="E108" s="7" t="s">
        <v>972</v>
      </c>
      <c r="F108" s="8" t="s">
        <v>973</v>
      </c>
      <c r="G108" s="8"/>
      <c r="H108" s="7" t="s">
        <v>974</v>
      </c>
      <c r="I108" s="7" t="s">
        <v>975</v>
      </c>
      <c r="J108" s="8" t="s">
        <v>976</v>
      </c>
      <c r="K108" s="8" t="s">
        <v>321</v>
      </c>
      <c r="L108" s="7" t="s">
        <v>247</v>
      </c>
      <c r="M108" s="7" t="s">
        <v>480</v>
      </c>
      <c r="N108" s="7" t="s">
        <v>70</v>
      </c>
      <c r="O108" s="7" t="s">
        <v>1079</v>
      </c>
      <c r="P108" s="7"/>
      <c r="Q108" s="7" t="s">
        <v>1079</v>
      </c>
      <c r="R108" s="7" t="s">
        <v>977</v>
      </c>
      <c r="S108" s="58">
        <v>45778</v>
      </c>
      <c r="T108" s="7" t="s">
        <v>959</v>
      </c>
      <c r="U108" s="7"/>
      <c r="V108" s="7"/>
      <c r="W108" s="7"/>
      <c r="X108" s="7"/>
      <c r="Y108" s="61">
        <v>169360</v>
      </c>
      <c r="Z108" s="61"/>
      <c r="AA108" s="45"/>
      <c r="AB108" s="17"/>
      <c r="AC108" s="17"/>
      <c r="AD108" s="7"/>
      <c r="AE108" s="7"/>
      <c r="AF108" s="7"/>
      <c r="AG108" s="14"/>
      <c r="AH108" s="14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12"/>
      <c r="BH108" s="12"/>
      <c r="BI108" s="12"/>
      <c r="BJ108" s="12"/>
      <c r="BK108" s="12"/>
      <c r="BL108" s="12"/>
      <c r="BM108" s="12"/>
      <c r="BN108" s="12"/>
      <c r="BO108" s="12"/>
      <c r="BP108" s="12"/>
      <c r="BQ108" s="12"/>
      <c r="BR108" s="12"/>
      <c r="BS108" s="12"/>
      <c r="BT108" s="12"/>
      <c r="BU108" s="12"/>
      <c r="BV108" s="12"/>
      <c r="BW108" s="12"/>
      <c r="BX108" s="12"/>
      <c r="BY108" s="12"/>
      <c r="BZ108" s="12"/>
      <c r="CA108" s="12"/>
      <c r="CB108" s="12"/>
      <c r="CC108" s="12"/>
      <c r="CD108" s="12"/>
      <c r="CE108" s="12"/>
      <c r="CF108" s="12"/>
      <c r="CG108" s="12"/>
      <c r="CH108" s="12"/>
      <c r="CI108" s="12"/>
      <c r="CJ108" s="12"/>
      <c r="CK108" s="12"/>
      <c r="CL108" s="12"/>
      <c r="CM108" s="12"/>
      <c r="CN108" s="12"/>
      <c r="CO108" s="12"/>
      <c r="CP108" s="12"/>
      <c r="CQ108" s="12"/>
      <c r="CR108" s="12"/>
      <c r="CS108" s="12"/>
      <c r="CT108" s="12"/>
      <c r="CU108" s="12"/>
      <c r="CV108" s="12"/>
      <c r="CW108" s="12"/>
      <c r="CX108" s="12"/>
      <c r="CY108" s="12"/>
      <c r="CZ108" s="12"/>
      <c r="DA108" s="12"/>
      <c r="DB108" s="12"/>
      <c r="DC108" s="12"/>
      <c r="DD108" s="12"/>
      <c r="DE108" s="12"/>
      <c r="DF108" s="12"/>
      <c r="DG108" s="12"/>
      <c r="DH108" s="12"/>
      <c r="DI108" s="12"/>
      <c r="DJ108" s="12"/>
      <c r="DK108" s="12"/>
      <c r="DL108" s="12"/>
      <c r="DM108" s="12"/>
      <c r="DN108" s="12"/>
      <c r="DO108" s="12"/>
      <c r="DP108" s="12"/>
      <c r="DQ108" s="12"/>
      <c r="DR108" s="12"/>
      <c r="DS108" s="12"/>
      <c r="DT108" s="12"/>
      <c r="DU108" s="12"/>
      <c r="DV108" s="12"/>
      <c r="DW108" s="12"/>
      <c r="DX108" s="12"/>
      <c r="DY108" s="12"/>
      <c r="DZ108" s="12"/>
      <c r="EA108" s="12"/>
      <c r="EB108" s="12"/>
      <c r="EC108" s="12"/>
      <c r="ED108" s="12"/>
      <c r="EE108" s="12"/>
      <c r="EF108" s="12"/>
      <c r="EG108" s="12"/>
      <c r="EH108" s="12"/>
      <c r="EI108" s="12"/>
      <c r="EJ108" s="12"/>
      <c r="EK108" s="12"/>
      <c r="EL108" s="12"/>
      <c r="EM108" s="12"/>
      <c r="EN108" s="12"/>
      <c r="EO108" s="12"/>
      <c r="EP108" s="12"/>
      <c r="EQ108" s="12"/>
      <c r="ER108" s="12"/>
      <c r="ES108" s="12"/>
      <c r="ET108" s="12"/>
      <c r="EU108" s="12"/>
      <c r="EV108" s="12"/>
      <c r="EW108" s="12"/>
      <c r="EX108" s="12"/>
      <c r="EY108" s="12"/>
      <c r="EZ108" s="12"/>
      <c r="FA108" s="12"/>
      <c r="FB108" s="12"/>
      <c r="FC108" s="12"/>
      <c r="FD108" s="12"/>
      <c r="FE108" s="12"/>
      <c r="FF108" s="12"/>
      <c r="FG108" s="12"/>
      <c r="FH108" s="12"/>
      <c r="FI108" s="12"/>
      <c r="FJ108" s="12"/>
      <c r="FK108" s="12"/>
      <c r="FL108" s="12"/>
      <c r="FM108" s="12"/>
      <c r="FN108" s="12"/>
      <c r="FO108" s="12"/>
      <c r="FP108" s="12"/>
      <c r="FQ108" s="12"/>
      <c r="FR108" s="12"/>
      <c r="FS108" s="12"/>
      <c r="FT108" s="12"/>
      <c r="FU108" s="12"/>
      <c r="FV108" s="12"/>
      <c r="FW108" s="12"/>
      <c r="FX108" s="12"/>
      <c r="FY108" s="12"/>
      <c r="FZ108" s="12"/>
      <c r="GA108" s="12"/>
      <c r="GB108" s="12"/>
      <c r="GC108" s="12"/>
      <c r="GD108" s="12"/>
      <c r="GE108" s="12"/>
      <c r="GF108" s="12"/>
    </row>
    <row r="109" spans="1:188" ht="15.75" customHeight="1" x14ac:dyDescent="0.35">
      <c r="A109" s="5" t="s">
        <v>978</v>
      </c>
      <c r="B109" s="29"/>
      <c r="C109" s="7">
        <v>108</v>
      </c>
      <c r="D109" s="7" t="s">
        <v>979</v>
      </c>
      <c r="E109" s="11" t="s">
        <v>980</v>
      </c>
      <c r="F109" s="8" t="s">
        <v>981</v>
      </c>
      <c r="G109" s="8"/>
      <c r="H109" s="7" t="s">
        <v>982</v>
      </c>
      <c r="I109" s="9" t="s">
        <v>983</v>
      </c>
      <c r="J109" s="8" t="s">
        <v>984</v>
      </c>
      <c r="K109" s="8" t="s">
        <v>985</v>
      </c>
      <c r="L109" s="7" t="s">
        <v>247</v>
      </c>
      <c r="M109" s="7" t="s">
        <v>579</v>
      </c>
      <c r="N109" s="7" t="s">
        <v>70</v>
      </c>
      <c r="O109" s="7" t="s">
        <v>1079</v>
      </c>
      <c r="P109" s="7"/>
      <c r="Q109" s="7" t="s">
        <v>1079</v>
      </c>
      <c r="R109" s="7" t="s">
        <v>986</v>
      </c>
      <c r="S109" s="58">
        <v>45778</v>
      </c>
      <c r="T109" s="7" t="s">
        <v>959</v>
      </c>
      <c r="U109" s="7"/>
      <c r="V109" s="7"/>
      <c r="W109" s="7"/>
      <c r="X109" s="7"/>
      <c r="Y109" s="61">
        <v>236894</v>
      </c>
      <c r="Z109" s="61"/>
      <c r="AA109" s="45"/>
      <c r="AB109" s="17"/>
      <c r="AC109" s="17"/>
      <c r="AD109" s="7"/>
      <c r="AE109" s="7"/>
      <c r="AF109" s="7"/>
      <c r="AG109" s="14"/>
      <c r="AH109" s="14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12"/>
      <c r="BH109" s="12"/>
      <c r="BI109" s="12"/>
      <c r="BJ109" s="12"/>
      <c r="BK109" s="12"/>
      <c r="BL109" s="12"/>
      <c r="BM109" s="12"/>
      <c r="BN109" s="12"/>
      <c r="BO109" s="12"/>
      <c r="BP109" s="12"/>
      <c r="BQ109" s="12"/>
      <c r="BR109" s="12"/>
      <c r="BS109" s="12"/>
      <c r="BT109" s="12"/>
      <c r="BU109" s="12"/>
      <c r="BV109" s="12"/>
      <c r="BW109" s="12"/>
      <c r="BX109" s="12"/>
      <c r="BY109" s="12"/>
      <c r="BZ109" s="12"/>
      <c r="CA109" s="12"/>
      <c r="CB109" s="12"/>
      <c r="CC109" s="12"/>
      <c r="CD109" s="12"/>
      <c r="CE109" s="12"/>
      <c r="CF109" s="12"/>
      <c r="CG109" s="12"/>
      <c r="CH109" s="12"/>
      <c r="CI109" s="12"/>
      <c r="CJ109" s="12"/>
      <c r="CK109" s="12"/>
      <c r="CL109" s="12"/>
      <c r="CM109" s="12"/>
      <c r="CN109" s="12"/>
      <c r="CO109" s="12"/>
      <c r="CP109" s="12"/>
      <c r="CQ109" s="12"/>
      <c r="CR109" s="12"/>
      <c r="CS109" s="12"/>
      <c r="CT109" s="12"/>
      <c r="CU109" s="12"/>
      <c r="CV109" s="12"/>
      <c r="CW109" s="12"/>
      <c r="CX109" s="12"/>
      <c r="CY109" s="12"/>
      <c r="CZ109" s="12"/>
      <c r="DA109" s="12"/>
      <c r="DB109" s="12"/>
      <c r="DC109" s="12"/>
      <c r="DD109" s="12"/>
      <c r="DE109" s="12"/>
      <c r="DF109" s="12"/>
      <c r="DG109" s="12"/>
      <c r="DH109" s="12"/>
      <c r="DI109" s="12"/>
      <c r="DJ109" s="12"/>
      <c r="DK109" s="12"/>
      <c r="DL109" s="12"/>
      <c r="DM109" s="12"/>
      <c r="DN109" s="12"/>
      <c r="DO109" s="12"/>
      <c r="DP109" s="12"/>
      <c r="DQ109" s="12"/>
      <c r="DR109" s="12"/>
      <c r="DS109" s="12"/>
      <c r="DT109" s="12"/>
      <c r="DU109" s="12"/>
      <c r="DV109" s="12"/>
      <c r="DW109" s="12"/>
      <c r="DX109" s="12"/>
      <c r="DY109" s="12"/>
      <c r="DZ109" s="12"/>
      <c r="EA109" s="12"/>
      <c r="EB109" s="12"/>
      <c r="EC109" s="12"/>
      <c r="ED109" s="12"/>
      <c r="EE109" s="12"/>
      <c r="EF109" s="12"/>
      <c r="EG109" s="12"/>
      <c r="EH109" s="12"/>
      <c r="EI109" s="12"/>
      <c r="EJ109" s="12"/>
      <c r="EK109" s="12"/>
      <c r="EL109" s="12"/>
      <c r="EM109" s="12"/>
      <c r="EN109" s="12"/>
      <c r="EO109" s="12"/>
      <c r="EP109" s="12"/>
      <c r="EQ109" s="12"/>
      <c r="ER109" s="12"/>
      <c r="ES109" s="12"/>
      <c r="ET109" s="12"/>
      <c r="EU109" s="12"/>
      <c r="EV109" s="12"/>
      <c r="EW109" s="12"/>
      <c r="EX109" s="12"/>
      <c r="EY109" s="12"/>
      <c r="EZ109" s="12"/>
      <c r="FA109" s="12"/>
      <c r="FB109" s="12"/>
      <c r="FC109" s="12"/>
      <c r="FD109" s="12"/>
      <c r="FE109" s="12"/>
      <c r="FF109" s="12"/>
      <c r="FG109" s="12"/>
      <c r="FH109" s="12"/>
      <c r="FI109" s="12"/>
      <c r="FJ109" s="12"/>
      <c r="FK109" s="12"/>
      <c r="FL109" s="12"/>
      <c r="FM109" s="12"/>
      <c r="FN109" s="12"/>
      <c r="FO109" s="12"/>
      <c r="FP109" s="12"/>
      <c r="FQ109" s="12"/>
      <c r="FR109" s="12"/>
      <c r="FS109" s="12"/>
      <c r="FT109" s="12"/>
      <c r="FU109" s="12"/>
      <c r="FV109" s="12"/>
      <c r="FW109" s="12"/>
      <c r="FX109" s="12"/>
      <c r="FY109" s="12"/>
      <c r="FZ109" s="12"/>
      <c r="GA109" s="12"/>
      <c r="GB109" s="12"/>
      <c r="GC109" s="12"/>
      <c r="GD109" s="12"/>
      <c r="GE109" s="12"/>
      <c r="GF109" s="12"/>
    </row>
    <row r="110" spans="1:188" ht="15.75" customHeight="1" x14ac:dyDescent="0.35">
      <c r="A110" s="5" t="s">
        <v>987</v>
      </c>
      <c r="B110" s="29"/>
      <c r="C110" s="7">
        <v>109</v>
      </c>
      <c r="D110" s="7" t="s">
        <v>988</v>
      </c>
      <c r="E110" s="11" t="s">
        <v>989</v>
      </c>
      <c r="F110" s="8" t="s">
        <v>990</v>
      </c>
      <c r="G110" s="8"/>
      <c r="H110" s="7" t="s">
        <v>991</v>
      </c>
      <c r="I110" s="72" t="s">
        <v>992</v>
      </c>
      <c r="J110" s="8" t="s">
        <v>993</v>
      </c>
      <c r="K110" s="8" t="s">
        <v>994</v>
      </c>
      <c r="L110" s="7" t="s">
        <v>247</v>
      </c>
      <c r="M110" s="7" t="s">
        <v>586</v>
      </c>
      <c r="N110" s="7" t="s">
        <v>70</v>
      </c>
      <c r="O110" s="7" t="s">
        <v>1079</v>
      </c>
      <c r="P110" s="7"/>
      <c r="Q110" s="7" t="s">
        <v>1079</v>
      </c>
      <c r="R110" s="7"/>
      <c r="S110" s="58">
        <v>45809</v>
      </c>
      <c r="T110" s="7" t="s">
        <v>995</v>
      </c>
      <c r="U110" s="7"/>
      <c r="V110" s="7"/>
      <c r="W110" s="7"/>
      <c r="X110" s="7"/>
      <c r="Y110" s="61">
        <v>217006.48</v>
      </c>
      <c r="Z110" s="61"/>
      <c r="AA110" s="45"/>
      <c r="AB110" s="17"/>
      <c r="AC110" s="17"/>
      <c r="AD110" s="7"/>
      <c r="AE110" s="7"/>
      <c r="AF110" s="7"/>
      <c r="AG110" s="14"/>
      <c r="AH110" s="14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12"/>
      <c r="BH110" s="12"/>
      <c r="BI110" s="12"/>
      <c r="BJ110" s="12"/>
      <c r="BK110" s="12"/>
      <c r="BL110" s="12"/>
      <c r="BM110" s="12"/>
      <c r="BN110" s="12"/>
      <c r="BO110" s="12"/>
      <c r="BP110" s="12"/>
      <c r="BQ110" s="12"/>
      <c r="BR110" s="12"/>
      <c r="BS110" s="12"/>
      <c r="BT110" s="12"/>
      <c r="BU110" s="12"/>
      <c r="BV110" s="12"/>
      <c r="BW110" s="12"/>
      <c r="BX110" s="12"/>
      <c r="BY110" s="12"/>
      <c r="BZ110" s="12"/>
      <c r="CA110" s="12"/>
      <c r="CB110" s="12"/>
      <c r="CC110" s="12"/>
      <c r="CD110" s="12"/>
      <c r="CE110" s="12"/>
      <c r="CF110" s="12"/>
      <c r="CG110" s="12"/>
      <c r="CH110" s="12"/>
      <c r="CI110" s="12"/>
      <c r="CJ110" s="12"/>
      <c r="CK110" s="12"/>
      <c r="CL110" s="12"/>
      <c r="CM110" s="12"/>
      <c r="CN110" s="12"/>
      <c r="CO110" s="12"/>
      <c r="CP110" s="12"/>
      <c r="CQ110" s="12"/>
      <c r="CR110" s="12"/>
      <c r="CS110" s="12"/>
      <c r="CT110" s="12"/>
      <c r="CU110" s="12"/>
      <c r="CV110" s="12"/>
      <c r="CW110" s="12"/>
      <c r="CX110" s="12"/>
      <c r="CY110" s="12"/>
      <c r="CZ110" s="12"/>
      <c r="DA110" s="12"/>
      <c r="DB110" s="12"/>
      <c r="DC110" s="12"/>
      <c r="DD110" s="12"/>
      <c r="DE110" s="12"/>
      <c r="DF110" s="12"/>
      <c r="DG110" s="12"/>
      <c r="DH110" s="12"/>
      <c r="DI110" s="12"/>
      <c r="DJ110" s="12"/>
      <c r="DK110" s="12"/>
      <c r="DL110" s="12"/>
      <c r="DM110" s="12"/>
      <c r="DN110" s="12"/>
      <c r="DO110" s="12"/>
      <c r="DP110" s="12"/>
      <c r="DQ110" s="12"/>
      <c r="DR110" s="12"/>
      <c r="DS110" s="12"/>
      <c r="DT110" s="12"/>
      <c r="DU110" s="12"/>
      <c r="DV110" s="12"/>
      <c r="DW110" s="12"/>
      <c r="DX110" s="12"/>
      <c r="DY110" s="12"/>
      <c r="DZ110" s="12"/>
      <c r="EA110" s="12"/>
      <c r="EB110" s="12"/>
      <c r="EC110" s="12"/>
      <c r="ED110" s="12"/>
      <c r="EE110" s="12"/>
      <c r="EF110" s="12"/>
      <c r="EG110" s="12"/>
      <c r="EH110" s="12"/>
      <c r="EI110" s="12"/>
      <c r="EJ110" s="12"/>
      <c r="EK110" s="12"/>
      <c r="EL110" s="12"/>
      <c r="EM110" s="12"/>
      <c r="EN110" s="12"/>
      <c r="EO110" s="12"/>
      <c r="EP110" s="12"/>
      <c r="EQ110" s="12"/>
      <c r="ER110" s="12"/>
      <c r="ES110" s="12"/>
      <c r="ET110" s="12"/>
      <c r="EU110" s="12"/>
      <c r="EV110" s="12"/>
      <c r="EW110" s="12"/>
      <c r="EX110" s="12"/>
      <c r="EY110" s="12"/>
      <c r="EZ110" s="12"/>
      <c r="FA110" s="12"/>
      <c r="FB110" s="12"/>
      <c r="FC110" s="12"/>
      <c r="FD110" s="12"/>
      <c r="FE110" s="12"/>
      <c r="FF110" s="12"/>
      <c r="FG110" s="12"/>
      <c r="FH110" s="12"/>
      <c r="FI110" s="12"/>
      <c r="FJ110" s="12"/>
      <c r="FK110" s="12"/>
      <c r="FL110" s="12"/>
      <c r="FM110" s="12"/>
      <c r="FN110" s="12"/>
      <c r="FO110" s="12"/>
      <c r="FP110" s="12"/>
      <c r="FQ110" s="12"/>
      <c r="FR110" s="12"/>
      <c r="FS110" s="12"/>
      <c r="FT110" s="12"/>
      <c r="FU110" s="12"/>
      <c r="FV110" s="12"/>
      <c r="FW110" s="12"/>
      <c r="FX110" s="12"/>
      <c r="FY110" s="12"/>
      <c r="FZ110" s="12"/>
      <c r="GA110" s="12"/>
      <c r="GB110" s="12"/>
      <c r="GC110" s="12"/>
      <c r="GD110" s="12"/>
      <c r="GE110" s="12"/>
      <c r="GF110" s="12"/>
    </row>
    <row r="111" spans="1:188" ht="15.75" customHeight="1" x14ac:dyDescent="0.35">
      <c r="A111" s="5" t="s">
        <v>996</v>
      </c>
      <c r="B111" s="29"/>
      <c r="C111" s="7">
        <v>110</v>
      </c>
      <c r="D111" s="7" t="s">
        <v>997</v>
      </c>
      <c r="E111" s="14" t="s">
        <v>143</v>
      </c>
      <c r="F111" s="8" t="s">
        <v>996</v>
      </c>
      <c r="G111" s="8"/>
      <c r="H111" s="7" t="s">
        <v>998</v>
      </c>
      <c r="I111" s="7" t="s">
        <v>999</v>
      </c>
      <c r="J111" s="8" t="s">
        <v>1000</v>
      </c>
      <c r="K111" s="8" t="s">
        <v>355</v>
      </c>
      <c r="L111" s="7" t="s">
        <v>247</v>
      </c>
      <c r="M111" s="7" t="s">
        <v>907</v>
      </c>
      <c r="N111" s="7" t="s">
        <v>70</v>
      </c>
      <c r="O111" s="7" t="s">
        <v>1079</v>
      </c>
      <c r="P111" s="7"/>
      <c r="Q111" s="7" t="s">
        <v>1079</v>
      </c>
      <c r="R111" s="7" t="s">
        <v>71</v>
      </c>
      <c r="S111" s="7"/>
      <c r="T111" s="7" t="s">
        <v>969</v>
      </c>
      <c r="U111" s="7"/>
      <c r="V111" s="7"/>
      <c r="W111" s="7"/>
      <c r="X111" s="7"/>
      <c r="Y111" s="61">
        <v>422908.07999999996</v>
      </c>
      <c r="Z111" s="61"/>
      <c r="AA111" s="45"/>
      <c r="AB111" s="17"/>
      <c r="AC111" s="17"/>
      <c r="AD111" s="7"/>
      <c r="AE111" s="7"/>
      <c r="AF111" s="7"/>
      <c r="AG111" s="14"/>
      <c r="AH111" s="14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12"/>
      <c r="BH111" s="12"/>
      <c r="BI111" s="12"/>
      <c r="BJ111" s="12"/>
      <c r="BK111" s="12"/>
      <c r="BL111" s="12"/>
      <c r="BM111" s="12"/>
      <c r="BN111" s="12"/>
      <c r="BO111" s="12"/>
      <c r="BP111" s="12"/>
      <c r="BQ111" s="12"/>
      <c r="BR111" s="12"/>
      <c r="BS111" s="12"/>
      <c r="BT111" s="12"/>
      <c r="BU111" s="12"/>
      <c r="BV111" s="12"/>
      <c r="BW111" s="12"/>
      <c r="BX111" s="12"/>
      <c r="BY111" s="12"/>
      <c r="BZ111" s="12"/>
      <c r="CA111" s="12"/>
      <c r="CB111" s="12"/>
      <c r="CC111" s="12"/>
      <c r="CD111" s="12"/>
      <c r="CE111" s="12"/>
      <c r="CF111" s="12"/>
      <c r="CG111" s="12"/>
      <c r="CH111" s="12"/>
      <c r="CI111" s="12"/>
      <c r="CJ111" s="12"/>
      <c r="CK111" s="12"/>
      <c r="CL111" s="12"/>
      <c r="CM111" s="12"/>
      <c r="CN111" s="12"/>
      <c r="CO111" s="12"/>
      <c r="CP111" s="12"/>
      <c r="CQ111" s="12"/>
      <c r="CR111" s="12"/>
      <c r="CS111" s="12"/>
      <c r="CT111" s="12"/>
      <c r="CU111" s="12"/>
      <c r="CV111" s="12"/>
      <c r="CW111" s="12"/>
      <c r="CX111" s="12"/>
      <c r="CY111" s="12"/>
      <c r="CZ111" s="12"/>
      <c r="DA111" s="12"/>
      <c r="DB111" s="12"/>
      <c r="DC111" s="12"/>
      <c r="DD111" s="12"/>
      <c r="DE111" s="12"/>
      <c r="DF111" s="12"/>
      <c r="DG111" s="12"/>
      <c r="DH111" s="12"/>
      <c r="DI111" s="12"/>
      <c r="DJ111" s="12"/>
      <c r="DK111" s="12"/>
      <c r="DL111" s="12"/>
      <c r="DM111" s="12"/>
      <c r="DN111" s="12"/>
      <c r="DO111" s="12"/>
      <c r="DP111" s="12"/>
      <c r="DQ111" s="12"/>
      <c r="DR111" s="12"/>
      <c r="DS111" s="12"/>
      <c r="DT111" s="12"/>
      <c r="DU111" s="12"/>
      <c r="DV111" s="12"/>
      <c r="DW111" s="12"/>
      <c r="DX111" s="12"/>
      <c r="DY111" s="12"/>
      <c r="DZ111" s="12"/>
      <c r="EA111" s="12"/>
      <c r="EB111" s="12"/>
      <c r="EC111" s="12"/>
      <c r="ED111" s="12"/>
      <c r="EE111" s="12"/>
      <c r="EF111" s="12"/>
      <c r="EG111" s="12"/>
      <c r="EH111" s="12"/>
      <c r="EI111" s="12"/>
      <c r="EJ111" s="12"/>
      <c r="EK111" s="12"/>
      <c r="EL111" s="12"/>
      <c r="EM111" s="12"/>
      <c r="EN111" s="12"/>
      <c r="EO111" s="12"/>
      <c r="EP111" s="12"/>
      <c r="EQ111" s="12"/>
      <c r="ER111" s="12"/>
      <c r="ES111" s="12"/>
      <c r="ET111" s="12"/>
      <c r="EU111" s="12"/>
      <c r="EV111" s="12"/>
      <c r="EW111" s="12"/>
      <c r="EX111" s="12"/>
      <c r="EY111" s="12"/>
      <c r="EZ111" s="12"/>
      <c r="FA111" s="12"/>
      <c r="FB111" s="12"/>
      <c r="FC111" s="12"/>
      <c r="FD111" s="12"/>
      <c r="FE111" s="12"/>
      <c r="FF111" s="12"/>
      <c r="FG111" s="12"/>
      <c r="FH111" s="12"/>
      <c r="FI111" s="12"/>
      <c r="FJ111" s="12"/>
      <c r="FK111" s="12"/>
      <c r="FL111" s="12"/>
      <c r="FM111" s="12"/>
      <c r="FN111" s="12"/>
      <c r="FO111" s="12"/>
      <c r="FP111" s="12"/>
      <c r="FQ111" s="12"/>
      <c r="FR111" s="12"/>
      <c r="FS111" s="12"/>
      <c r="FT111" s="12"/>
      <c r="FU111" s="12"/>
      <c r="FV111" s="12"/>
      <c r="FW111" s="12"/>
      <c r="FX111" s="12"/>
      <c r="FY111" s="12"/>
      <c r="FZ111" s="12"/>
      <c r="GA111" s="12"/>
      <c r="GB111" s="12"/>
      <c r="GC111" s="12"/>
      <c r="GD111" s="12"/>
      <c r="GE111" s="12"/>
      <c r="GF111" s="12"/>
    </row>
    <row r="112" spans="1:188" ht="15.75" customHeight="1" x14ac:dyDescent="0.35">
      <c r="A112" s="5" t="s">
        <v>1001</v>
      </c>
      <c r="B112" s="29"/>
      <c r="C112" s="7">
        <v>111</v>
      </c>
      <c r="D112" s="7" t="s">
        <v>1002</v>
      </c>
      <c r="E112" s="14" t="s">
        <v>143</v>
      </c>
      <c r="F112" s="8" t="s">
        <v>1003</v>
      </c>
      <c r="G112" s="8"/>
      <c r="H112" s="7" t="s">
        <v>1004</v>
      </c>
      <c r="I112" s="7" t="s">
        <v>1005</v>
      </c>
      <c r="J112" s="8" t="s">
        <v>1006</v>
      </c>
      <c r="K112" s="8" t="s">
        <v>149</v>
      </c>
      <c r="L112" s="7" t="s">
        <v>247</v>
      </c>
      <c r="M112" s="7" t="s">
        <v>349</v>
      </c>
      <c r="N112" s="7" t="s">
        <v>70</v>
      </c>
      <c r="O112" s="7" t="s">
        <v>1079</v>
      </c>
      <c r="P112" s="7"/>
      <c r="Q112" s="7" t="s">
        <v>1079</v>
      </c>
      <c r="R112" s="7"/>
      <c r="S112" s="7"/>
      <c r="T112" s="7" t="s">
        <v>1007</v>
      </c>
      <c r="U112" s="7"/>
      <c r="V112" s="7"/>
      <c r="W112" s="7"/>
      <c r="X112" s="7"/>
      <c r="Y112" s="61">
        <v>916406.44</v>
      </c>
      <c r="Z112" s="61"/>
      <c r="AA112" s="45"/>
      <c r="AB112" s="17"/>
      <c r="AC112" s="17"/>
      <c r="AD112" s="7"/>
      <c r="AE112" s="7"/>
      <c r="AF112" s="7"/>
      <c r="AG112" s="14"/>
      <c r="AH112" s="14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12"/>
      <c r="BH112" s="12"/>
      <c r="BI112" s="12"/>
      <c r="BJ112" s="12"/>
      <c r="BK112" s="12"/>
      <c r="BL112" s="12"/>
      <c r="BM112" s="12"/>
      <c r="BN112" s="12"/>
      <c r="BO112" s="12"/>
      <c r="BP112" s="12"/>
      <c r="BQ112" s="12"/>
      <c r="BR112" s="12"/>
      <c r="BS112" s="12"/>
      <c r="BT112" s="12"/>
      <c r="BU112" s="12"/>
      <c r="BV112" s="12"/>
      <c r="BW112" s="12"/>
      <c r="BX112" s="12"/>
      <c r="BY112" s="12"/>
      <c r="BZ112" s="12"/>
      <c r="CA112" s="12"/>
      <c r="CB112" s="12"/>
      <c r="CC112" s="12"/>
      <c r="CD112" s="12"/>
      <c r="CE112" s="12"/>
      <c r="CF112" s="12"/>
      <c r="CG112" s="12"/>
      <c r="CH112" s="12"/>
      <c r="CI112" s="12"/>
      <c r="CJ112" s="12"/>
      <c r="CK112" s="12"/>
      <c r="CL112" s="12"/>
      <c r="CM112" s="12"/>
      <c r="CN112" s="12"/>
      <c r="CO112" s="12"/>
      <c r="CP112" s="12"/>
      <c r="CQ112" s="12"/>
      <c r="CR112" s="12"/>
      <c r="CS112" s="12"/>
      <c r="CT112" s="12"/>
      <c r="CU112" s="12"/>
      <c r="CV112" s="12"/>
      <c r="CW112" s="12"/>
      <c r="CX112" s="12"/>
      <c r="CY112" s="12"/>
      <c r="CZ112" s="12"/>
      <c r="DA112" s="12"/>
      <c r="DB112" s="12"/>
      <c r="DC112" s="12"/>
      <c r="DD112" s="12"/>
      <c r="DE112" s="12"/>
      <c r="DF112" s="12"/>
      <c r="DG112" s="12"/>
      <c r="DH112" s="12"/>
      <c r="DI112" s="12"/>
      <c r="DJ112" s="12"/>
      <c r="DK112" s="12"/>
      <c r="DL112" s="12"/>
      <c r="DM112" s="12"/>
      <c r="DN112" s="12"/>
      <c r="DO112" s="12"/>
      <c r="DP112" s="12"/>
      <c r="DQ112" s="12"/>
      <c r="DR112" s="12"/>
      <c r="DS112" s="12"/>
      <c r="DT112" s="12"/>
      <c r="DU112" s="12"/>
      <c r="DV112" s="12"/>
      <c r="DW112" s="12"/>
      <c r="DX112" s="12"/>
      <c r="DY112" s="12"/>
      <c r="DZ112" s="12"/>
      <c r="EA112" s="12"/>
      <c r="EB112" s="12"/>
      <c r="EC112" s="12"/>
      <c r="ED112" s="12"/>
      <c r="EE112" s="12"/>
      <c r="EF112" s="12"/>
      <c r="EG112" s="12"/>
      <c r="EH112" s="12"/>
      <c r="EI112" s="12"/>
      <c r="EJ112" s="12"/>
      <c r="EK112" s="12"/>
      <c r="EL112" s="12"/>
      <c r="EM112" s="12"/>
      <c r="EN112" s="12"/>
      <c r="EO112" s="12"/>
      <c r="EP112" s="12"/>
      <c r="EQ112" s="12"/>
      <c r="ER112" s="12"/>
      <c r="ES112" s="12"/>
      <c r="ET112" s="12"/>
      <c r="EU112" s="12"/>
      <c r="EV112" s="12"/>
      <c r="EW112" s="12"/>
      <c r="EX112" s="12"/>
      <c r="EY112" s="12"/>
      <c r="EZ112" s="12"/>
      <c r="FA112" s="12"/>
      <c r="FB112" s="12"/>
      <c r="FC112" s="12"/>
      <c r="FD112" s="12"/>
      <c r="FE112" s="12"/>
      <c r="FF112" s="12"/>
      <c r="FG112" s="12"/>
      <c r="FH112" s="12"/>
      <c r="FI112" s="12"/>
      <c r="FJ112" s="12"/>
      <c r="FK112" s="12"/>
      <c r="FL112" s="12"/>
      <c r="FM112" s="12"/>
      <c r="FN112" s="12"/>
      <c r="FO112" s="12"/>
      <c r="FP112" s="12"/>
      <c r="FQ112" s="12"/>
      <c r="FR112" s="12"/>
      <c r="FS112" s="12"/>
      <c r="FT112" s="12"/>
      <c r="FU112" s="12"/>
      <c r="FV112" s="12"/>
      <c r="FW112" s="12"/>
      <c r="FX112" s="12"/>
      <c r="FY112" s="12"/>
      <c r="FZ112" s="12"/>
      <c r="GA112" s="12"/>
      <c r="GB112" s="12"/>
      <c r="GC112" s="12"/>
      <c r="GD112" s="12"/>
      <c r="GE112" s="12"/>
      <c r="GF112" s="12"/>
    </row>
    <row r="113" spans="1:188" ht="15.75" customHeight="1" x14ac:dyDescent="0.35">
      <c r="A113" s="5" t="s">
        <v>1008</v>
      </c>
      <c r="B113" s="29"/>
      <c r="C113" s="7">
        <v>112</v>
      </c>
      <c r="D113" s="7" t="s">
        <v>1009</v>
      </c>
      <c r="E113" s="11" t="s">
        <v>1010</v>
      </c>
      <c r="F113" s="8" t="s">
        <v>1011</v>
      </c>
      <c r="G113" s="8"/>
      <c r="H113" s="7" t="s">
        <v>1012</v>
      </c>
      <c r="I113" s="7" t="s">
        <v>1013</v>
      </c>
      <c r="J113" s="8" t="s">
        <v>1014</v>
      </c>
      <c r="K113" s="8" t="s">
        <v>1015</v>
      </c>
      <c r="L113" s="7" t="s">
        <v>247</v>
      </c>
      <c r="M113" s="7" t="s">
        <v>764</v>
      </c>
      <c r="N113" s="7" t="s">
        <v>70</v>
      </c>
      <c r="O113" s="7" t="s">
        <v>1079</v>
      </c>
      <c r="P113" s="7"/>
      <c r="Q113" s="7" t="s">
        <v>1079</v>
      </c>
      <c r="R113" s="7" t="s">
        <v>71</v>
      </c>
      <c r="S113" s="58">
        <v>45748</v>
      </c>
      <c r="T113" s="7" t="s">
        <v>1016</v>
      </c>
      <c r="U113" s="7"/>
      <c r="V113" s="7"/>
      <c r="W113" s="7"/>
      <c r="X113" s="7"/>
      <c r="Y113" s="61">
        <v>970480</v>
      </c>
      <c r="Z113" s="61"/>
      <c r="AA113" s="45"/>
      <c r="AB113" s="17"/>
      <c r="AC113" s="17"/>
      <c r="AD113" s="7"/>
      <c r="AE113" s="7"/>
      <c r="AF113" s="7"/>
      <c r="AG113" s="14"/>
      <c r="AH113" s="14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12"/>
      <c r="BH113" s="12"/>
      <c r="BI113" s="12"/>
      <c r="BJ113" s="12"/>
      <c r="BK113" s="12"/>
      <c r="BL113" s="12"/>
      <c r="BM113" s="12"/>
      <c r="BN113" s="12"/>
      <c r="BO113" s="12"/>
      <c r="BP113" s="12"/>
      <c r="BQ113" s="12"/>
      <c r="BR113" s="12"/>
      <c r="BS113" s="12"/>
      <c r="BT113" s="12"/>
      <c r="BU113" s="12"/>
      <c r="BV113" s="12"/>
      <c r="BW113" s="12"/>
      <c r="BX113" s="12"/>
      <c r="BY113" s="12"/>
      <c r="BZ113" s="12"/>
      <c r="CA113" s="12"/>
      <c r="CB113" s="12"/>
      <c r="CC113" s="12"/>
      <c r="CD113" s="12"/>
      <c r="CE113" s="12"/>
      <c r="CF113" s="12"/>
      <c r="CG113" s="12"/>
      <c r="CH113" s="12"/>
      <c r="CI113" s="12"/>
      <c r="CJ113" s="12"/>
      <c r="CK113" s="12"/>
      <c r="CL113" s="12"/>
      <c r="CM113" s="12"/>
      <c r="CN113" s="12"/>
      <c r="CO113" s="12"/>
      <c r="CP113" s="12"/>
      <c r="CQ113" s="12"/>
      <c r="CR113" s="12"/>
      <c r="CS113" s="12"/>
      <c r="CT113" s="12"/>
      <c r="CU113" s="12"/>
      <c r="CV113" s="12"/>
      <c r="CW113" s="12"/>
      <c r="CX113" s="12"/>
      <c r="CY113" s="12"/>
      <c r="CZ113" s="12"/>
      <c r="DA113" s="12"/>
      <c r="DB113" s="12"/>
      <c r="DC113" s="12"/>
      <c r="DD113" s="12"/>
      <c r="DE113" s="12"/>
      <c r="DF113" s="12"/>
      <c r="DG113" s="12"/>
      <c r="DH113" s="12"/>
      <c r="DI113" s="12"/>
      <c r="DJ113" s="12"/>
      <c r="DK113" s="12"/>
      <c r="DL113" s="12"/>
      <c r="DM113" s="12"/>
      <c r="DN113" s="12"/>
      <c r="DO113" s="12"/>
      <c r="DP113" s="12"/>
      <c r="DQ113" s="12"/>
      <c r="DR113" s="12"/>
      <c r="DS113" s="12"/>
      <c r="DT113" s="12"/>
      <c r="DU113" s="12"/>
      <c r="DV113" s="12"/>
      <c r="DW113" s="12"/>
      <c r="DX113" s="12"/>
      <c r="DY113" s="12"/>
      <c r="DZ113" s="12"/>
      <c r="EA113" s="12"/>
      <c r="EB113" s="12"/>
      <c r="EC113" s="12"/>
      <c r="ED113" s="12"/>
      <c r="EE113" s="12"/>
      <c r="EF113" s="12"/>
      <c r="EG113" s="12"/>
      <c r="EH113" s="12"/>
      <c r="EI113" s="12"/>
      <c r="EJ113" s="12"/>
      <c r="EK113" s="12"/>
      <c r="EL113" s="12"/>
      <c r="EM113" s="12"/>
      <c r="EN113" s="12"/>
      <c r="EO113" s="12"/>
      <c r="EP113" s="12"/>
      <c r="EQ113" s="12"/>
      <c r="ER113" s="12"/>
      <c r="ES113" s="12"/>
      <c r="ET113" s="12"/>
      <c r="EU113" s="12"/>
      <c r="EV113" s="12"/>
      <c r="EW113" s="12"/>
      <c r="EX113" s="12"/>
      <c r="EY113" s="12"/>
      <c r="EZ113" s="12"/>
      <c r="FA113" s="12"/>
      <c r="FB113" s="12"/>
      <c r="FC113" s="12"/>
      <c r="FD113" s="12"/>
      <c r="FE113" s="12"/>
      <c r="FF113" s="12"/>
      <c r="FG113" s="12"/>
      <c r="FH113" s="12"/>
      <c r="FI113" s="12"/>
      <c r="FJ113" s="12"/>
      <c r="FK113" s="12"/>
      <c r="FL113" s="12"/>
      <c r="FM113" s="12"/>
      <c r="FN113" s="12"/>
      <c r="FO113" s="12"/>
      <c r="FP113" s="12"/>
      <c r="FQ113" s="12"/>
      <c r="FR113" s="12"/>
      <c r="FS113" s="12"/>
      <c r="FT113" s="12"/>
      <c r="FU113" s="12"/>
      <c r="FV113" s="12"/>
      <c r="FW113" s="12"/>
      <c r="FX113" s="12"/>
      <c r="FY113" s="12"/>
      <c r="FZ113" s="12"/>
      <c r="GA113" s="12"/>
      <c r="GB113" s="12"/>
      <c r="GC113" s="12"/>
      <c r="GD113" s="12"/>
      <c r="GE113" s="12"/>
      <c r="GF113" s="12"/>
    </row>
    <row r="114" spans="1:188" ht="15.75" customHeight="1" x14ac:dyDescent="0.35">
      <c r="A114" s="5" t="s">
        <v>1017</v>
      </c>
      <c r="B114" s="29"/>
      <c r="C114" s="7">
        <v>113</v>
      </c>
      <c r="D114" s="7" t="s">
        <v>469</v>
      </c>
      <c r="E114" s="11" t="s">
        <v>1018</v>
      </c>
      <c r="F114" s="8" t="s">
        <v>1019</v>
      </c>
      <c r="G114" s="68"/>
      <c r="H114" s="7" t="s">
        <v>1020</v>
      </c>
      <c r="I114" s="7" t="s">
        <v>1021</v>
      </c>
      <c r="J114" s="8" t="s">
        <v>472</v>
      </c>
      <c r="K114" s="8" t="s">
        <v>473</v>
      </c>
      <c r="L114" s="7" t="s">
        <v>247</v>
      </c>
      <c r="M114" s="7" t="s">
        <v>118</v>
      </c>
      <c r="N114" s="7" t="s">
        <v>70</v>
      </c>
      <c r="O114" s="7" t="s">
        <v>1079</v>
      </c>
      <c r="P114" s="7"/>
      <c r="Q114" s="7" t="s">
        <v>1079</v>
      </c>
      <c r="R114" s="7" t="s">
        <v>71</v>
      </c>
      <c r="S114" s="58">
        <v>45809</v>
      </c>
      <c r="T114" s="7" t="s">
        <v>1022</v>
      </c>
      <c r="U114" s="7"/>
      <c r="V114" s="7"/>
      <c r="W114" s="7"/>
      <c r="X114" s="7"/>
      <c r="Y114" s="61">
        <v>92042.36</v>
      </c>
      <c r="Z114" s="61"/>
      <c r="AA114" s="45"/>
      <c r="AB114" s="17"/>
      <c r="AC114" s="17"/>
      <c r="AD114" s="7"/>
      <c r="AE114" s="7"/>
      <c r="AF114" s="7"/>
      <c r="AG114" s="14"/>
      <c r="AH114" s="14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12"/>
      <c r="BH114" s="12"/>
      <c r="BI114" s="12"/>
      <c r="BJ114" s="12"/>
      <c r="BK114" s="12"/>
      <c r="BL114" s="12"/>
      <c r="BM114" s="12"/>
      <c r="BN114" s="12"/>
      <c r="BO114" s="12"/>
      <c r="BP114" s="12"/>
      <c r="BQ114" s="12"/>
      <c r="BR114" s="12"/>
      <c r="BS114" s="12"/>
      <c r="BT114" s="12"/>
      <c r="BU114" s="12"/>
      <c r="BV114" s="12"/>
      <c r="BW114" s="12"/>
      <c r="BX114" s="12"/>
      <c r="BY114" s="12"/>
      <c r="BZ114" s="12"/>
      <c r="CA114" s="12"/>
      <c r="CB114" s="12"/>
      <c r="CC114" s="12"/>
      <c r="CD114" s="12"/>
      <c r="CE114" s="12"/>
      <c r="CF114" s="12"/>
      <c r="CG114" s="12"/>
      <c r="CH114" s="12"/>
      <c r="CI114" s="12"/>
      <c r="CJ114" s="12"/>
      <c r="CK114" s="12"/>
      <c r="CL114" s="12"/>
      <c r="CM114" s="12"/>
      <c r="CN114" s="12"/>
      <c r="CO114" s="12"/>
      <c r="CP114" s="12"/>
      <c r="CQ114" s="12"/>
      <c r="CR114" s="12"/>
      <c r="CS114" s="12"/>
      <c r="CT114" s="12"/>
      <c r="CU114" s="12"/>
      <c r="CV114" s="12"/>
      <c r="CW114" s="12"/>
      <c r="CX114" s="12"/>
      <c r="CY114" s="12"/>
      <c r="CZ114" s="12"/>
      <c r="DA114" s="12"/>
      <c r="DB114" s="12"/>
      <c r="DC114" s="12"/>
      <c r="DD114" s="12"/>
      <c r="DE114" s="12"/>
      <c r="DF114" s="12"/>
      <c r="DG114" s="12"/>
      <c r="DH114" s="12"/>
      <c r="DI114" s="12"/>
      <c r="DJ114" s="12"/>
      <c r="DK114" s="12"/>
      <c r="DL114" s="12"/>
      <c r="DM114" s="12"/>
      <c r="DN114" s="12"/>
      <c r="DO114" s="12"/>
      <c r="DP114" s="12"/>
      <c r="DQ114" s="12"/>
      <c r="DR114" s="12"/>
      <c r="DS114" s="12"/>
      <c r="DT114" s="12"/>
      <c r="DU114" s="12"/>
      <c r="DV114" s="12"/>
      <c r="DW114" s="12"/>
      <c r="DX114" s="12"/>
      <c r="DY114" s="12"/>
      <c r="DZ114" s="12"/>
      <c r="EA114" s="12"/>
      <c r="EB114" s="12"/>
      <c r="EC114" s="12"/>
      <c r="ED114" s="12"/>
      <c r="EE114" s="12"/>
      <c r="EF114" s="12"/>
      <c r="EG114" s="12"/>
      <c r="EH114" s="12"/>
      <c r="EI114" s="12"/>
      <c r="EJ114" s="12"/>
      <c r="EK114" s="12"/>
      <c r="EL114" s="12"/>
      <c r="EM114" s="12"/>
      <c r="EN114" s="12"/>
      <c r="EO114" s="12"/>
      <c r="EP114" s="12"/>
      <c r="EQ114" s="12"/>
      <c r="ER114" s="12"/>
      <c r="ES114" s="12"/>
      <c r="ET114" s="12"/>
      <c r="EU114" s="12"/>
      <c r="EV114" s="12"/>
      <c r="EW114" s="12"/>
      <c r="EX114" s="12"/>
      <c r="EY114" s="12"/>
      <c r="EZ114" s="12"/>
      <c r="FA114" s="12"/>
      <c r="FB114" s="12"/>
      <c r="FC114" s="12"/>
      <c r="FD114" s="12"/>
      <c r="FE114" s="12"/>
      <c r="FF114" s="12"/>
      <c r="FG114" s="12"/>
      <c r="FH114" s="12"/>
      <c r="FI114" s="12"/>
      <c r="FJ114" s="12"/>
      <c r="FK114" s="12"/>
      <c r="FL114" s="12"/>
      <c r="FM114" s="12"/>
      <c r="FN114" s="12"/>
      <c r="FO114" s="12"/>
      <c r="FP114" s="12"/>
      <c r="FQ114" s="12"/>
      <c r="FR114" s="12"/>
      <c r="FS114" s="12"/>
      <c r="FT114" s="12"/>
      <c r="FU114" s="12"/>
      <c r="FV114" s="12"/>
      <c r="FW114" s="12"/>
      <c r="FX114" s="12"/>
      <c r="FY114" s="12"/>
      <c r="FZ114" s="12"/>
      <c r="GA114" s="12"/>
      <c r="GB114" s="12"/>
      <c r="GC114" s="12"/>
      <c r="GD114" s="12"/>
      <c r="GE114" s="12"/>
      <c r="GF114" s="12"/>
    </row>
    <row r="115" spans="1:188" ht="15.75" customHeight="1" x14ac:dyDescent="0.35">
      <c r="A115" s="5" t="s">
        <v>1023</v>
      </c>
      <c r="B115" s="29"/>
      <c r="C115" s="7">
        <v>114</v>
      </c>
      <c r="D115" s="7" t="s">
        <v>1024</v>
      </c>
      <c r="E115" s="11" t="s">
        <v>1025</v>
      </c>
      <c r="F115" s="8" t="s">
        <v>1023</v>
      </c>
      <c r="G115" s="8"/>
      <c r="H115" s="7" t="s">
        <v>1026</v>
      </c>
      <c r="I115" s="7" t="s">
        <v>1027</v>
      </c>
      <c r="J115" s="8" t="s">
        <v>1028</v>
      </c>
      <c r="K115" s="8" t="s">
        <v>1029</v>
      </c>
      <c r="L115" s="7" t="s">
        <v>247</v>
      </c>
      <c r="M115" s="7" t="s">
        <v>962</v>
      </c>
      <c r="N115" s="7" t="s">
        <v>70</v>
      </c>
      <c r="O115" s="7" t="s">
        <v>1079</v>
      </c>
      <c r="P115" s="7"/>
      <c r="Q115" s="7" t="s">
        <v>1079</v>
      </c>
      <c r="R115" s="7" t="s">
        <v>71</v>
      </c>
      <c r="S115" s="58">
        <v>45809</v>
      </c>
      <c r="T115" s="58">
        <v>45809</v>
      </c>
      <c r="U115" s="7"/>
      <c r="V115" s="7"/>
      <c r="W115" s="7"/>
      <c r="X115" s="7"/>
      <c r="Y115" s="61">
        <v>175500</v>
      </c>
      <c r="Z115" s="61"/>
      <c r="AA115" s="45"/>
      <c r="AB115" s="17"/>
      <c r="AC115" s="17"/>
      <c r="AD115" s="7"/>
      <c r="AE115" s="7"/>
      <c r="AF115" s="7"/>
      <c r="AG115" s="14"/>
      <c r="AH115" s="14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12"/>
      <c r="BH115" s="12"/>
      <c r="BI115" s="12"/>
      <c r="BJ115" s="12"/>
      <c r="BK115" s="12"/>
      <c r="BL115" s="12"/>
      <c r="BM115" s="12"/>
      <c r="BN115" s="12"/>
      <c r="BO115" s="12"/>
      <c r="BP115" s="12"/>
      <c r="BQ115" s="12"/>
      <c r="BR115" s="12"/>
      <c r="BS115" s="12"/>
      <c r="BT115" s="12"/>
      <c r="BU115" s="12"/>
      <c r="BV115" s="12"/>
      <c r="BW115" s="12"/>
      <c r="BX115" s="12"/>
      <c r="BY115" s="12"/>
      <c r="BZ115" s="12"/>
      <c r="CA115" s="12"/>
      <c r="CB115" s="12"/>
      <c r="CC115" s="12"/>
      <c r="CD115" s="12"/>
      <c r="CE115" s="12"/>
      <c r="CF115" s="12"/>
      <c r="CG115" s="12"/>
      <c r="CH115" s="12"/>
      <c r="CI115" s="12"/>
      <c r="CJ115" s="12"/>
      <c r="CK115" s="12"/>
      <c r="CL115" s="12"/>
      <c r="CM115" s="12"/>
      <c r="CN115" s="12"/>
      <c r="CO115" s="12"/>
      <c r="CP115" s="12"/>
      <c r="CQ115" s="12"/>
      <c r="CR115" s="12"/>
      <c r="CS115" s="12"/>
      <c r="CT115" s="12"/>
      <c r="CU115" s="12"/>
      <c r="CV115" s="12"/>
      <c r="CW115" s="12"/>
      <c r="CX115" s="12"/>
      <c r="CY115" s="12"/>
      <c r="CZ115" s="12"/>
      <c r="DA115" s="12"/>
      <c r="DB115" s="12"/>
      <c r="DC115" s="12"/>
      <c r="DD115" s="12"/>
      <c r="DE115" s="12"/>
      <c r="DF115" s="12"/>
      <c r="DG115" s="12"/>
      <c r="DH115" s="12"/>
      <c r="DI115" s="12"/>
      <c r="DJ115" s="12"/>
      <c r="DK115" s="12"/>
      <c r="DL115" s="12"/>
      <c r="DM115" s="12"/>
      <c r="DN115" s="12"/>
      <c r="DO115" s="12"/>
      <c r="DP115" s="12"/>
      <c r="DQ115" s="12"/>
      <c r="DR115" s="12"/>
      <c r="DS115" s="12"/>
      <c r="DT115" s="12"/>
      <c r="DU115" s="12"/>
      <c r="DV115" s="12"/>
      <c r="DW115" s="12"/>
      <c r="DX115" s="12"/>
      <c r="DY115" s="12"/>
      <c r="DZ115" s="12"/>
      <c r="EA115" s="12"/>
      <c r="EB115" s="12"/>
      <c r="EC115" s="12"/>
      <c r="ED115" s="12"/>
      <c r="EE115" s="12"/>
      <c r="EF115" s="12"/>
      <c r="EG115" s="12"/>
      <c r="EH115" s="12"/>
      <c r="EI115" s="12"/>
      <c r="EJ115" s="12"/>
      <c r="EK115" s="12"/>
      <c r="EL115" s="12"/>
      <c r="EM115" s="12"/>
      <c r="EN115" s="12"/>
      <c r="EO115" s="12"/>
      <c r="EP115" s="12"/>
      <c r="EQ115" s="12"/>
      <c r="ER115" s="12"/>
      <c r="ES115" s="12"/>
      <c r="ET115" s="12"/>
      <c r="EU115" s="12"/>
      <c r="EV115" s="12"/>
      <c r="EW115" s="12"/>
      <c r="EX115" s="12"/>
      <c r="EY115" s="12"/>
      <c r="EZ115" s="12"/>
      <c r="FA115" s="12"/>
      <c r="FB115" s="12"/>
      <c r="FC115" s="12"/>
      <c r="FD115" s="12"/>
      <c r="FE115" s="12"/>
      <c r="FF115" s="12"/>
      <c r="FG115" s="12"/>
      <c r="FH115" s="12"/>
      <c r="FI115" s="12"/>
      <c r="FJ115" s="12"/>
      <c r="FK115" s="12"/>
      <c r="FL115" s="12"/>
      <c r="FM115" s="12"/>
      <c r="FN115" s="12"/>
      <c r="FO115" s="12"/>
      <c r="FP115" s="12"/>
      <c r="FQ115" s="12"/>
      <c r="FR115" s="12"/>
      <c r="FS115" s="12"/>
      <c r="FT115" s="12"/>
      <c r="FU115" s="12"/>
      <c r="FV115" s="12"/>
      <c r="FW115" s="12"/>
      <c r="FX115" s="12"/>
      <c r="FY115" s="12"/>
      <c r="FZ115" s="12"/>
      <c r="GA115" s="12"/>
      <c r="GB115" s="12"/>
      <c r="GC115" s="12"/>
      <c r="GD115" s="12"/>
      <c r="GE115" s="12"/>
      <c r="GF115" s="12"/>
    </row>
    <row r="116" spans="1:188" ht="15.75" customHeight="1" x14ac:dyDescent="0.35">
      <c r="A116" s="5" t="s">
        <v>1030</v>
      </c>
      <c r="B116" s="29"/>
      <c r="C116" s="7">
        <v>115</v>
      </c>
      <c r="D116" s="7" t="s">
        <v>1031</v>
      </c>
      <c r="E116" s="11" t="s">
        <v>1032</v>
      </c>
      <c r="F116" s="8" t="s">
        <v>1033</v>
      </c>
      <c r="G116" s="8"/>
      <c r="H116" s="7" t="s">
        <v>1034</v>
      </c>
      <c r="I116" s="7" t="s">
        <v>1035</v>
      </c>
      <c r="J116" s="8" t="s">
        <v>1036</v>
      </c>
      <c r="K116" s="8" t="s">
        <v>1037</v>
      </c>
      <c r="L116" s="7" t="s">
        <v>247</v>
      </c>
      <c r="M116" s="7" t="s">
        <v>129</v>
      </c>
      <c r="N116" s="7" t="s">
        <v>70</v>
      </c>
      <c r="O116" s="7" t="s">
        <v>1079</v>
      </c>
      <c r="P116" s="7"/>
      <c r="Q116" s="7" t="s">
        <v>1079</v>
      </c>
      <c r="R116" s="7"/>
      <c r="S116" s="7"/>
      <c r="T116" s="7"/>
      <c r="U116" s="7"/>
      <c r="V116" s="7"/>
      <c r="W116" s="7"/>
      <c r="X116" s="7"/>
      <c r="Y116" s="61">
        <v>61887.5</v>
      </c>
      <c r="Z116" s="61"/>
      <c r="AA116" s="45"/>
      <c r="AB116" s="17"/>
      <c r="AC116" s="17"/>
      <c r="AD116" s="7"/>
      <c r="AE116" s="7"/>
      <c r="AF116" s="7"/>
      <c r="AG116" s="14"/>
      <c r="AH116" s="14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12"/>
      <c r="BH116" s="12"/>
      <c r="BI116" s="12"/>
      <c r="BJ116" s="12"/>
      <c r="BK116" s="12"/>
      <c r="BL116" s="12"/>
      <c r="BM116" s="12"/>
      <c r="BN116" s="12"/>
      <c r="BO116" s="12"/>
      <c r="BP116" s="12"/>
      <c r="BQ116" s="12"/>
      <c r="BR116" s="12"/>
      <c r="BS116" s="12"/>
      <c r="BT116" s="12"/>
      <c r="BU116" s="12"/>
      <c r="BV116" s="12"/>
      <c r="BW116" s="12"/>
      <c r="BX116" s="12"/>
      <c r="BY116" s="12"/>
      <c r="BZ116" s="12"/>
      <c r="CA116" s="12"/>
      <c r="CB116" s="12"/>
      <c r="CC116" s="12"/>
      <c r="CD116" s="12"/>
      <c r="CE116" s="12"/>
      <c r="CF116" s="12"/>
      <c r="CG116" s="12"/>
      <c r="CH116" s="12"/>
      <c r="CI116" s="12"/>
      <c r="CJ116" s="12"/>
      <c r="CK116" s="12"/>
      <c r="CL116" s="12"/>
      <c r="CM116" s="12"/>
      <c r="CN116" s="12"/>
      <c r="CO116" s="12"/>
      <c r="CP116" s="12"/>
      <c r="CQ116" s="12"/>
      <c r="CR116" s="12"/>
      <c r="CS116" s="12"/>
      <c r="CT116" s="12"/>
      <c r="CU116" s="12"/>
      <c r="CV116" s="12"/>
      <c r="CW116" s="12"/>
      <c r="CX116" s="12"/>
      <c r="CY116" s="12"/>
      <c r="CZ116" s="12"/>
      <c r="DA116" s="12"/>
      <c r="DB116" s="12"/>
      <c r="DC116" s="12"/>
      <c r="DD116" s="12"/>
      <c r="DE116" s="12"/>
      <c r="DF116" s="12"/>
      <c r="DG116" s="12"/>
      <c r="DH116" s="12"/>
      <c r="DI116" s="12"/>
      <c r="DJ116" s="12"/>
      <c r="DK116" s="12"/>
      <c r="DL116" s="12"/>
      <c r="DM116" s="12"/>
      <c r="DN116" s="12"/>
      <c r="DO116" s="12"/>
      <c r="DP116" s="12"/>
      <c r="DQ116" s="12"/>
      <c r="DR116" s="12"/>
      <c r="DS116" s="12"/>
      <c r="DT116" s="12"/>
      <c r="DU116" s="12"/>
      <c r="DV116" s="12"/>
      <c r="DW116" s="12"/>
      <c r="DX116" s="12"/>
      <c r="DY116" s="12"/>
      <c r="DZ116" s="12"/>
      <c r="EA116" s="12"/>
      <c r="EB116" s="12"/>
      <c r="EC116" s="12"/>
      <c r="ED116" s="12"/>
      <c r="EE116" s="12"/>
      <c r="EF116" s="12"/>
      <c r="EG116" s="12"/>
      <c r="EH116" s="12"/>
      <c r="EI116" s="12"/>
      <c r="EJ116" s="12"/>
      <c r="EK116" s="12"/>
      <c r="EL116" s="12"/>
      <c r="EM116" s="12"/>
      <c r="EN116" s="12"/>
      <c r="EO116" s="12"/>
      <c r="EP116" s="12"/>
      <c r="EQ116" s="12"/>
      <c r="ER116" s="12"/>
      <c r="ES116" s="12"/>
      <c r="ET116" s="12"/>
      <c r="EU116" s="12"/>
      <c r="EV116" s="12"/>
      <c r="EW116" s="12"/>
      <c r="EX116" s="12"/>
      <c r="EY116" s="12"/>
      <c r="EZ116" s="12"/>
      <c r="FA116" s="12"/>
      <c r="FB116" s="12"/>
      <c r="FC116" s="12"/>
      <c r="FD116" s="12"/>
      <c r="FE116" s="12"/>
      <c r="FF116" s="12"/>
      <c r="FG116" s="12"/>
      <c r="FH116" s="12"/>
      <c r="FI116" s="12"/>
      <c r="FJ116" s="12"/>
      <c r="FK116" s="12"/>
      <c r="FL116" s="12"/>
      <c r="FM116" s="12"/>
      <c r="FN116" s="12"/>
      <c r="FO116" s="12"/>
      <c r="FP116" s="12"/>
      <c r="FQ116" s="12"/>
      <c r="FR116" s="12"/>
      <c r="FS116" s="12"/>
      <c r="FT116" s="12"/>
      <c r="FU116" s="12"/>
      <c r="FV116" s="12"/>
      <c r="FW116" s="12"/>
      <c r="FX116" s="12"/>
      <c r="FY116" s="12"/>
      <c r="FZ116" s="12"/>
      <c r="GA116" s="12"/>
      <c r="GB116" s="12"/>
      <c r="GC116" s="12"/>
      <c r="GD116" s="12"/>
      <c r="GE116" s="12"/>
      <c r="GF116" s="12"/>
    </row>
    <row r="117" spans="1:188" ht="15.75" customHeight="1" x14ac:dyDescent="0.35">
      <c r="A117" s="5" t="s">
        <v>1038</v>
      </c>
      <c r="B117" s="29"/>
      <c r="C117" s="7">
        <v>116</v>
      </c>
      <c r="D117" s="7" t="s">
        <v>1039</v>
      </c>
      <c r="E117" s="11" t="s">
        <v>1040</v>
      </c>
      <c r="F117" s="8" t="s">
        <v>1041</v>
      </c>
      <c r="G117" s="8"/>
      <c r="H117" s="7" t="s">
        <v>1042</v>
      </c>
      <c r="I117" s="7" t="s">
        <v>1043</v>
      </c>
      <c r="J117" s="69" t="s">
        <v>1044</v>
      </c>
      <c r="K117" s="8" t="s">
        <v>1045</v>
      </c>
      <c r="L117" s="7" t="s">
        <v>247</v>
      </c>
      <c r="M117" s="7" t="s">
        <v>165</v>
      </c>
      <c r="N117" s="7" t="s">
        <v>70</v>
      </c>
      <c r="O117" s="7" t="s">
        <v>1079</v>
      </c>
      <c r="P117" s="7"/>
      <c r="Q117" s="7" t="s">
        <v>1079</v>
      </c>
      <c r="R117" s="7" t="s">
        <v>740</v>
      </c>
      <c r="S117" s="58">
        <v>46143</v>
      </c>
      <c r="T117" s="7" t="s">
        <v>540</v>
      </c>
      <c r="U117" s="7" t="s">
        <v>74</v>
      </c>
      <c r="V117" s="7"/>
      <c r="W117" s="7"/>
      <c r="X117" s="7"/>
      <c r="Y117" s="61">
        <v>207680</v>
      </c>
      <c r="Z117" s="61"/>
      <c r="AA117" s="45"/>
      <c r="AB117" s="17"/>
      <c r="AC117" s="17"/>
      <c r="AD117" s="7"/>
      <c r="AE117" s="7"/>
      <c r="AF117" s="7"/>
      <c r="AG117" s="14"/>
      <c r="AH117" s="14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12"/>
      <c r="BH117" s="12"/>
      <c r="BI117" s="12"/>
      <c r="BJ117" s="12"/>
      <c r="BK117" s="12"/>
      <c r="BL117" s="12"/>
      <c r="BM117" s="12"/>
      <c r="BN117" s="12"/>
      <c r="BO117" s="12"/>
      <c r="BP117" s="12"/>
      <c r="BQ117" s="12"/>
      <c r="BR117" s="12"/>
      <c r="BS117" s="12"/>
      <c r="BT117" s="12"/>
      <c r="BU117" s="12"/>
      <c r="BV117" s="12"/>
      <c r="BW117" s="12"/>
      <c r="BX117" s="12"/>
      <c r="BY117" s="12"/>
      <c r="BZ117" s="12"/>
      <c r="CA117" s="12"/>
      <c r="CB117" s="12"/>
      <c r="CC117" s="12"/>
      <c r="CD117" s="12"/>
      <c r="CE117" s="12"/>
      <c r="CF117" s="12"/>
      <c r="CG117" s="12"/>
      <c r="CH117" s="12"/>
      <c r="CI117" s="12"/>
      <c r="CJ117" s="12"/>
      <c r="CK117" s="12"/>
      <c r="CL117" s="12"/>
      <c r="CM117" s="12"/>
      <c r="CN117" s="12"/>
      <c r="CO117" s="12"/>
      <c r="CP117" s="12"/>
      <c r="CQ117" s="12"/>
      <c r="CR117" s="12"/>
      <c r="CS117" s="12"/>
      <c r="CT117" s="12"/>
      <c r="CU117" s="12"/>
      <c r="CV117" s="12"/>
      <c r="CW117" s="12"/>
      <c r="CX117" s="12"/>
      <c r="CY117" s="12"/>
      <c r="CZ117" s="12"/>
      <c r="DA117" s="12"/>
      <c r="DB117" s="12"/>
      <c r="DC117" s="12"/>
      <c r="DD117" s="12"/>
      <c r="DE117" s="12"/>
      <c r="DF117" s="12"/>
      <c r="DG117" s="12"/>
      <c r="DH117" s="12"/>
      <c r="DI117" s="12"/>
      <c r="DJ117" s="12"/>
      <c r="DK117" s="12"/>
      <c r="DL117" s="12"/>
      <c r="DM117" s="12"/>
      <c r="DN117" s="12"/>
      <c r="DO117" s="12"/>
      <c r="DP117" s="12"/>
      <c r="DQ117" s="12"/>
      <c r="DR117" s="12"/>
      <c r="DS117" s="12"/>
      <c r="DT117" s="12"/>
      <c r="DU117" s="12"/>
      <c r="DV117" s="12"/>
      <c r="DW117" s="12"/>
      <c r="DX117" s="12"/>
      <c r="DY117" s="12"/>
      <c r="DZ117" s="12"/>
      <c r="EA117" s="12"/>
      <c r="EB117" s="12"/>
      <c r="EC117" s="12"/>
      <c r="ED117" s="12"/>
      <c r="EE117" s="12"/>
      <c r="EF117" s="12"/>
      <c r="EG117" s="12"/>
      <c r="EH117" s="12"/>
      <c r="EI117" s="12"/>
      <c r="EJ117" s="12"/>
      <c r="EK117" s="12"/>
      <c r="EL117" s="12"/>
      <c r="EM117" s="12"/>
      <c r="EN117" s="12"/>
      <c r="EO117" s="12"/>
      <c r="EP117" s="12"/>
      <c r="EQ117" s="12"/>
      <c r="ER117" s="12"/>
      <c r="ES117" s="12"/>
      <c r="ET117" s="12"/>
      <c r="EU117" s="12"/>
      <c r="EV117" s="12"/>
      <c r="EW117" s="12"/>
      <c r="EX117" s="12"/>
      <c r="EY117" s="12"/>
      <c r="EZ117" s="12"/>
      <c r="FA117" s="12"/>
      <c r="FB117" s="12"/>
      <c r="FC117" s="12"/>
      <c r="FD117" s="12"/>
      <c r="FE117" s="12"/>
      <c r="FF117" s="12"/>
      <c r="FG117" s="12"/>
      <c r="FH117" s="12"/>
      <c r="FI117" s="12"/>
      <c r="FJ117" s="12"/>
      <c r="FK117" s="12"/>
      <c r="FL117" s="12"/>
      <c r="FM117" s="12"/>
      <c r="FN117" s="12"/>
      <c r="FO117" s="12"/>
      <c r="FP117" s="12"/>
      <c r="FQ117" s="12"/>
      <c r="FR117" s="12"/>
      <c r="FS117" s="12"/>
      <c r="FT117" s="12"/>
      <c r="FU117" s="12"/>
      <c r="FV117" s="12"/>
      <c r="FW117" s="12"/>
      <c r="FX117" s="12"/>
      <c r="FY117" s="12"/>
      <c r="FZ117" s="12"/>
      <c r="GA117" s="12"/>
      <c r="GB117" s="12"/>
      <c r="GC117" s="12"/>
      <c r="GD117" s="12"/>
      <c r="GE117" s="12"/>
      <c r="GF117" s="12"/>
    </row>
    <row r="118" spans="1:188" ht="15.75" customHeight="1" x14ac:dyDescent="0.35">
      <c r="A118" s="5" t="s">
        <v>1046</v>
      </c>
      <c r="B118" s="29"/>
      <c r="C118" s="7">
        <v>117</v>
      </c>
      <c r="D118" s="7" t="s">
        <v>716</v>
      </c>
      <c r="E118" s="11" t="s">
        <v>1047</v>
      </c>
      <c r="F118" s="8" t="s">
        <v>1048</v>
      </c>
      <c r="G118" s="8"/>
      <c r="H118" s="7" t="s">
        <v>1049</v>
      </c>
      <c r="I118" s="7" t="s">
        <v>1050</v>
      </c>
      <c r="J118" s="8" t="s">
        <v>720</v>
      </c>
      <c r="K118" s="8" t="s">
        <v>1051</v>
      </c>
      <c r="L118" s="7" t="s">
        <v>247</v>
      </c>
      <c r="M118" s="7" t="s">
        <v>251</v>
      </c>
      <c r="N118" s="7" t="s">
        <v>70</v>
      </c>
      <c r="O118" s="7" t="s">
        <v>1079</v>
      </c>
      <c r="P118" s="7"/>
      <c r="Q118" s="7" t="s">
        <v>1079</v>
      </c>
      <c r="R118" s="7" t="s">
        <v>1052</v>
      </c>
      <c r="S118" s="58">
        <v>45931</v>
      </c>
      <c r="T118" s="7" t="s">
        <v>724</v>
      </c>
      <c r="U118" s="7"/>
      <c r="V118" s="7"/>
      <c r="W118" s="7"/>
      <c r="X118" s="7"/>
      <c r="Y118" s="61">
        <v>31104</v>
      </c>
      <c r="Z118" s="61"/>
      <c r="AA118" s="45"/>
      <c r="AB118" s="17"/>
      <c r="AC118" s="17"/>
      <c r="AD118" s="7"/>
      <c r="AE118" s="7"/>
      <c r="AF118" s="7"/>
      <c r="AG118" s="14"/>
      <c r="AH118" s="14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12"/>
      <c r="BH118" s="12"/>
      <c r="BI118" s="12"/>
      <c r="BJ118" s="12"/>
      <c r="BK118" s="12"/>
      <c r="BL118" s="12"/>
      <c r="BM118" s="12"/>
      <c r="BN118" s="12"/>
      <c r="BO118" s="12"/>
      <c r="BP118" s="12"/>
      <c r="BQ118" s="12"/>
      <c r="BR118" s="12"/>
      <c r="BS118" s="12"/>
      <c r="BT118" s="12"/>
      <c r="BU118" s="12"/>
      <c r="BV118" s="12"/>
      <c r="BW118" s="12"/>
      <c r="BX118" s="12"/>
      <c r="BY118" s="12"/>
      <c r="BZ118" s="12"/>
      <c r="CA118" s="12"/>
      <c r="CB118" s="12"/>
      <c r="CC118" s="12"/>
      <c r="CD118" s="12"/>
      <c r="CE118" s="12"/>
      <c r="CF118" s="12"/>
      <c r="CG118" s="12"/>
      <c r="CH118" s="12"/>
      <c r="CI118" s="12"/>
      <c r="CJ118" s="12"/>
      <c r="CK118" s="12"/>
      <c r="CL118" s="12"/>
      <c r="CM118" s="12"/>
      <c r="CN118" s="12"/>
      <c r="CO118" s="12"/>
      <c r="CP118" s="12"/>
      <c r="CQ118" s="12"/>
      <c r="CR118" s="12"/>
      <c r="CS118" s="12"/>
      <c r="CT118" s="12"/>
      <c r="CU118" s="12"/>
      <c r="CV118" s="12"/>
      <c r="CW118" s="12"/>
      <c r="CX118" s="12"/>
      <c r="CY118" s="12"/>
      <c r="CZ118" s="12"/>
      <c r="DA118" s="12"/>
      <c r="DB118" s="12"/>
      <c r="DC118" s="12"/>
      <c r="DD118" s="12"/>
      <c r="DE118" s="12"/>
      <c r="DF118" s="12"/>
      <c r="DG118" s="12"/>
      <c r="DH118" s="12"/>
      <c r="DI118" s="12"/>
      <c r="DJ118" s="12"/>
      <c r="DK118" s="12"/>
      <c r="DL118" s="12"/>
      <c r="DM118" s="12"/>
      <c r="DN118" s="12"/>
      <c r="DO118" s="12"/>
      <c r="DP118" s="12"/>
      <c r="DQ118" s="12"/>
      <c r="DR118" s="12"/>
      <c r="DS118" s="12"/>
      <c r="DT118" s="12"/>
      <c r="DU118" s="12"/>
      <c r="DV118" s="12"/>
      <c r="DW118" s="12"/>
      <c r="DX118" s="12"/>
      <c r="DY118" s="12"/>
      <c r="DZ118" s="12"/>
      <c r="EA118" s="12"/>
      <c r="EB118" s="12"/>
      <c r="EC118" s="12"/>
      <c r="ED118" s="12"/>
      <c r="EE118" s="12"/>
      <c r="EF118" s="12"/>
      <c r="EG118" s="12"/>
      <c r="EH118" s="12"/>
      <c r="EI118" s="12"/>
      <c r="EJ118" s="12"/>
      <c r="EK118" s="12"/>
      <c r="EL118" s="12"/>
      <c r="EM118" s="12"/>
      <c r="EN118" s="12"/>
      <c r="EO118" s="12"/>
      <c r="EP118" s="12"/>
      <c r="EQ118" s="12"/>
      <c r="ER118" s="12"/>
      <c r="ES118" s="12"/>
      <c r="ET118" s="12"/>
      <c r="EU118" s="12"/>
      <c r="EV118" s="12"/>
      <c r="EW118" s="12"/>
      <c r="EX118" s="12"/>
      <c r="EY118" s="12"/>
      <c r="EZ118" s="12"/>
      <c r="FA118" s="12"/>
      <c r="FB118" s="12"/>
      <c r="FC118" s="12"/>
      <c r="FD118" s="12"/>
      <c r="FE118" s="12"/>
      <c r="FF118" s="12"/>
      <c r="FG118" s="12"/>
      <c r="FH118" s="12"/>
      <c r="FI118" s="12"/>
      <c r="FJ118" s="12"/>
      <c r="FK118" s="12"/>
      <c r="FL118" s="12"/>
      <c r="FM118" s="12"/>
      <c r="FN118" s="12"/>
      <c r="FO118" s="12"/>
      <c r="FP118" s="12"/>
      <c r="FQ118" s="12"/>
      <c r="FR118" s="12"/>
      <c r="FS118" s="12"/>
      <c r="FT118" s="12"/>
      <c r="FU118" s="12"/>
      <c r="FV118" s="12"/>
      <c r="FW118" s="12"/>
      <c r="FX118" s="12"/>
      <c r="FY118" s="12"/>
      <c r="FZ118" s="12"/>
      <c r="GA118" s="12"/>
      <c r="GB118" s="12"/>
      <c r="GC118" s="12"/>
      <c r="GD118" s="12"/>
      <c r="GE118" s="12"/>
      <c r="GF118" s="12"/>
    </row>
    <row r="119" spans="1:188" ht="15.75" customHeight="1" x14ac:dyDescent="0.35">
      <c r="A119" s="5" t="s">
        <v>1053</v>
      </c>
      <c r="B119" s="29"/>
      <c r="C119" s="7">
        <v>118</v>
      </c>
      <c r="D119" s="7" t="s">
        <v>1054</v>
      </c>
      <c r="E119" s="11" t="s">
        <v>1055</v>
      </c>
      <c r="F119" s="8" t="s">
        <v>1056</v>
      </c>
      <c r="G119" s="8"/>
      <c r="H119" s="7" t="s">
        <v>1057</v>
      </c>
      <c r="I119" s="7" t="s">
        <v>1058</v>
      </c>
      <c r="J119" s="8" t="s">
        <v>1059</v>
      </c>
      <c r="K119" s="8" t="s">
        <v>1060</v>
      </c>
      <c r="L119" s="7" t="s">
        <v>247</v>
      </c>
      <c r="M119" s="7" t="s">
        <v>262</v>
      </c>
      <c r="N119" s="7" t="s">
        <v>70</v>
      </c>
      <c r="O119" s="7" t="s">
        <v>1079</v>
      </c>
      <c r="P119" s="7"/>
      <c r="Q119" s="7" t="s">
        <v>1079</v>
      </c>
      <c r="R119" s="7" t="s">
        <v>71</v>
      </c>
      <c r="S119" s="7" t="s">
        <v>1061</v>
      </c>
      <c r="T119" s="7" t="s">
        <v>1062</v>
      </c>
      <c r="U119" s="7"/>
      <c r="V119" s="7"/>
      <c r="W119" s="7"/>
      <c r="X119" s="7"/>
      <c r="Y119" s="61">
        <v>940499.6</v>
      </c>
      <c r="Z119" s="61"/>
      <c r="AA119" s="45"/>
      <c r="AB119" s="17"/>
      <c r="AC119" s="17"/>
      <c r="AD119" s="7"/>
      <c r="AE119" s="7"/>
      <c r="AF119" s="7"/>
      <c r="AG119" s="14"/>
      <c r="AH119" s="14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12"/>
      <c r="BH119" s="12"/>
      <c r="BI119" s="12"/>
      <c r="BJ119" s="12"/>
      <c r="BK119" s="12"/>
      <c r="BL119" s="12"/>
      <c r="BM119" s="12"/>
      <c r="BN119" s="12"/>
      <c r="BO119" s="12"/>
      <c r="BP119" s="12"/>
      <c r="BQ119" s="12"/>
      <c r="BR119" s="12"/>
      <c r="BS119" s="12"/>
      <c r="BT119" s="12"/>
      <c r="BU119" s="12"/>
      <c r="BV119" s="12"/>
      <c r="BW119" s="12"/>
      <c r="BX119" s="12"/>
      <c r="BY119" s="12"/>
      <c r="BZ119" s="12"/>
      <c r="CA119" s="12"/>
      <c r="CB119" s="12"/>
      <c r="CC119" s="12"/>
      <c r="CD119" s="12"/>
      <c r="CE119" s="12"/>
      <c r="CF119" s="12"/>
      <c r="CG119" s="12"/>
      <c r="CH119" s="12"/>
      <c r="CI119" s="12"/>
      <c r="CJ119" s="12"/>
      <c r="CK119" s="12"/>
      <c r="CL119" s="12"/>
      <c r="CM119" s="12"/>
      <c r="CN119" s="12"/>
      <c r="CO119" s="12"/>
      <c r="CP119" s="12"/>
      <c r="CQ119" s="12"/>
      <c r="CR119" s="12"/>
      <c r="CS119" s="12"/>
      <c r="CT119" s="12"/>
      <c r="CU119" s="12"/>
      <c r="CV119" s="12"/>
      <c r="CW119" s="12"/>
      <c r="CX119" s="12"/>
      <c r="CY119" s="12"/>
      <c r="CZ119" s="12"/>
      <c r="DA119" s="12"/>
      <c r="DB119" s="12"/>
      <c r="DC119" s="12"/>
      <c r="DD119" s="12"/>
      <c r="DE119" s="12"/>
      <c r="DF119" s="12"/>
      <c r="DG119" s="12"/>
      <c r="DH119" s="12"/>
      <c r="DI119" s="12"/>
      <c r="DJ119" s="12"/>
      <c r="DK119" s="12"/>
      <c r="DL119" s="12"/>
      <c r="DM119" s="12"/>
      <c r="DN119" s="12"/>
      <c r="DO119" s="12"/>
      <c r="DP119" s="12"/>
      <c r="DQ119" s="12"/>
      <c r="DR119" s="12"/>
      <c r="DS119" s="12"/>
      <c r="DT119" s="12"/>
      <c r="DU119" s="12"/>
      <c r="DV119" s="12"/>
      <c r="DW119" s="12"/>
      <c r="DX119" s="12"/>
      <c r="DY119" s="12"/>
      <c r="DZ119" s="12"/>
      <c r="EA119" s="12"/>
      <c r="EB119" s="12"/>
      <c r="EC119" s="12"/>
      <c r="ED119" s="12"/>
      <c r="EE119" s="12"/>
      <c r="EF119" s="12"/>
      <c r="EG119" s="12"/>
      <c r="EH119" s="12"/>
      <c r="EI119" s="12"/>
      <c r="EJ119" s="12"/>
      <c r="EK119" s="12"/>
      <c r="EL119" s="12"/>
      <c r="EM119" s="12"/>
      <c r="EN119" s="12"/>
      <c r="EO119" s="12"/>
      <c r="EP119" s="12"/>
      <c r="EQ119" s="12"/>
      <c r="ER119" s="12"/>
      <c r="ES119" s="12"/>
      <c r="ET119" s="12"/>
      <c r="EU119" s="12"/>
      <c r="EV119" s="12"/>
      <c r="EW119" s="12"/>
      <c r="EX119" s="12"/>
      <c r="EY119" s="12"/>
      <c r="EZ119" s="12"/>
      <c r="FA119" s="12"/>
      <c r="FB119" s="12"/>
      <c r="FC119" s="12"/>
      <c r="FD119" s="12"/>
      <c r="FE119" s="12"/>
      <c r="FF119" s="12"/>
      <c r="FG119" s="12"/>
      <c r="FH119" s="12"/>
      <c r="FI119" s="12"/>
      <c r="FJ119" s="12"/>
      <c r="FK119" s="12"/>
      <c r="FL119" s="12"/>
      <c r="FM119" s="12"/>
      <c r="FN119" s="12"/>
      <c r="FO119" s="12"/>
      <c r="FP119" s="12"/>
      <c r="FQ119" s="12"/>
      <c r="FR119" s="12"/>
      <c r="FS119" s="12"/>
      <c r="FT119" s="12"/>
      <c r="FU119" s="12"/>
      <c r="FV119" s="12"/>
      <c r="FW119" s="12"/>
      <c r="FX119" s="12"/>
      <c r="FY119" s="12"/>
      <c r="FZ119" s="12"/>
      <c r="GA119" s="12"/>
      <c r="GB119" s="12"/>
      <c r="GC119" s="12"/>
      <c r="GD119" s="12"/>
      <c r="GE119" s="12"/>
      <c r="GF119" s="12"/>
    </row>
    <row r="120" spans="1:188" ht="15.75" customHeight="1" x14ac:dyDescent="0.35">
      <c r="A120" s="5" t="s">
        <v>1063</v>
      </c>
      <c r="B120" s="29"/>
      <c r="C120" s="7">
        <v>119</v>
      </c>
      <c r="D120" s="7" t="s">
        <v>726</v>
      </c>
      <c r="E120" s="11" t="s">
        <v>1064</v>
      </c>
      <c r="F120" s="73" t="s">
        <v>1065</v>
      </c>
      <c r="G120" s="8"/>
      <c r="H120" s="7" t="s">
        <v>1066</v>
      </c>
      <c r="I120" s="7" t="s">
        <v>1067</v>
      </c>
      <c r="J120" s="8" t="s">
        <v>1068</v>
      </c>
      <c r="K120" s="8" t="s">
        <v>730</v>
      </c>
      <c r="L120" s="7" t="s">
        <v>247</v>
      </c>
      <c r="M120" s="7" t="s">
        <v>273</v>
      </c>
      <c r="N120" s="7" t="s">
        <v>70</v>
      </c>
      <c r="O120" s="7" t="s">
        <v>1079</v>
      </c>
      <c r="P120" s="7"/>
      <c r="Q120" s="7" t="s">
        <v>1079</v>
      </c>
      <c r="R120" s="7" t="s">
        <v>1069</v>
      </c>
      <c r="S120" s="58">
        <v>46023</v>
      </c>
      <c r="T120" s="7" t="s">
        <v>1070</v>
      </c>
      <c r="U120" s="7"/>
      <c r="V120" s="7"/>
      <c r="W120" s="7"/>
      <c r="X120" s="7"/>
      <c r="Y120" s="61">
        <v>1111830.46</v>
      </c>
      <c r="Z120" s="61"/>
      <c r="AA120" s="45"/>
      <c r="AB120" s="17"/>
      <c r="AC120" s="17"/>
      <c r="AD120" s="7"/>
      <c r="AE120" s="7"/>
      <c r="AF120" s="7"/>
      <c r="AG120" s="14"/>
      <c r="AH120" s="14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12"/>
      <c r="BH120" s="12"/>
      <c r="BI120" s="12"/>
      <c r="BJ120" s="12"/>
      <c r="BK120" s="12"/>
      <c r="BL120" s="12"/>
      <c r="BM120" s="12"/>
      <c r="BN120" s="12"/>
      <c r="BO120" s="12"/>
      <c r="BP120" s="12"/>
      <c r="BQ120" s="12"/>
      <c r="BR120" s="12"/>
      <c r="BS120" s="12"/>
      <c r="BT120" s="12"/>
      <c r="BU120" s="12"/>
      <c r="BV120" s="12"/>
      <c r="BW120" s="12"/>
      <c r="BX120" s="12"/>
      <c r="BY120" s="12"/>
      <c r="BZ120" s="12"/>
      <c r="CA120" s="12"/>
      <c r="CB120" s="12"/>
      <c r="CC120" s="12"/>
      <c r="CD120" s="12"/>
      <c r="CE120" s="12"/>
      <c r="CF120" s="12"/>
      <c r="CG120" s="12"/>
      <c r="CH120" s="12"/>
      <c r="CI120" s="12"/>
      <c r="CJ120" s="12"/>
      <c r="CK120" s="12"/>
      <c r="CL120" s="12"/>
      <c r="CM120" s="12"/>
      <c r="CN120" s="12"/>
      <c r="CO120" s="12"/>
      <c r="CP120" s="12"/>
      <c r="CQ120" s="12"/>
      <c r="CR120" s="12"/>
      <c r="CS120" s="12"/>
      <c r="CT120" s="12"/>
      <c r="CU120" s="12"/>
      <c r="CV120" s="12"/>
      <c r="CW120" s="12"/>
      <c r="CX120" s="12"/>
      <c r="CY120" s="12"/>
      <c r="CZ120" s="12"/>
      <c r="DA120" s="12"/>
      <c r="DB120" s="12"/>
      <c r="DC120" s="12"/>
      <c r="DD120" s="12"/>
      <c r="DE120" s="12"/>
      <c r="DF120" s="12"/>
      <c r="DG120" s="12"/>
      <c r="DH120" s="12"/>
      <c r="DI120" s="12"/>
      <c r="DJ120" s="12"/>
      <c r="DK120" s="12"/>
      <c r="DL120" s="12"/>
      <c r="DM120" s="12"/>
      <c r="DN120" s="12"/>
      <c r="DO120" s="12"/>
      <c r="DP120" s="12"/>
      <c r="DQ120" s="12"/>
      <c r="DR120" s="12"/>
      <c r="DS120" s="12"/>
      <c r="DT120" s="12"/>
      <c r="DU120" s="12"/>
      <c r="DV120" s="12"/>
      <c r="DW120" s="12"/>
      <c r="DX120" s="12"/>
      <c r="DY120" s="12"/>
      <c r="DZ120" s="12"/>
      <c r="EA120" s="12"/>
      <c r="EB120" s="12"/>
      <c r="EC120" s="12"/>
      <c r="ED120" s="12"/>
      <c r="EE120" s="12"/>
      <c r="EF120" s="12"/>
      <c r="EG120" s="12"/>
      <c r="EH120" s="12"/>
      <c r="EI120" s="12"/>
      <c r="EJ120" s="12"/>
      <c r="EK120" s="12"/>
      <c r="EL120" s="12"/>
      <c r="EM120" s="12"/>
      <c r="EN120" s="12"/>
      <c r="EO120" s="12"/>
      <c r="EP120" s="12"/>
      <c r="EQ120" s="12"/>
      <c r="ER120" s="12"/>
      <c r="ES120" s="12"/>
      <c r="ET120" s="12"/>
      <c r="EU120" s="12"/>
      <c r="EV120" s="12"/>
      <c r="EW120" s="12"/>
      <c r="EX120" s="12"/>
      <c r="EY120" s="12"/>
      <c r="EZ120" s="12"/>
      <c r="FA120" s="12"/>
      <c r="FB120" s="12"/>
      <c r="FC120" s="12"/>
      <c r="FD120" s="12"/>
      <c r="FE120" s="12"/>
      <c r="FF120" s="12"/>
      <c r="FG120" s="12"/>
      <c r="FH120" s="12"/>
      <c r="FI120" s="12"/>
      <c r="FJ120" s="12"/>
      <c r="FK120" s="12"/>
      <c r="FL120" s="12"/>
      <c r="FM120" s="12"/>
      <c r="FN120" s="12"/>
      <c r="FO120" s="12"/>
      <c r="FP120" s="12"/>
      <c r="FQ120" s="12"/>
      <c r="FR120" s="12"/>
      <c r="FS120" s="12"/>
      <c r="FT120" s="12"/>
      <c r="FU120" s="12"/>
      <c r="FV120" s="12"/>
      <c r="FW120" s="12"/>
      <c r="FX120" s="12"/>
      <c r="FY120" s="12"/>
      <c r="FZ120" s="12"/>
      <c r="GA120" s="12"/>
      <c r="GB120" s="12"/>
      <c r="GC120" s="12"/>
      <c r="GD120" s="12"/>
      <c r="GE120" s="12"/>
      <c r="GF120" s="12"/>
    </row>
    <row r="121" spans="1:188" ht="15.75" customHeight="1" x14ac:dyDescent="0.35">
      <c r="A121" s="5" t="s">
        <v>1071</v>
      </c>
      <c r="B121" s="74"/>
      <c r="C121" s="7"/>
      <c r="D121" s="7"/>
      <c r="E121" s="7"/>
      <c r="F121" s="68"/>
      <c r="G121" s="8"/>
      <c r="H121" s="7"/>
      <c r="I121" s="7"/>
      <c r="J121" s="8"/>
      <c r="K121" s="8"/>
      <c r="L121" s="7"/>
      <c r="M121" s="7"/>
      <c r="N121" s="7"/>
      <c r="O121" s="7"/>
      <c r="P121" s="7"/>
      <c r="Q121" s="8"/>
      <c r="R121" s="7"/>
      <c r="S121" s="7"/>
      <c r="T121" s="7"/>
      <c r="U121" s="7"/>
      <c r="V121" s="7"/>
      <c r="W121" s="7"/>
      <c r="X121" s="7"/>
      <c r="Y121" s="11"/>
      <c r="Z121" s="11"/>
      <c r="AA121" s="11"/>
      <c r="AB121" s="11"/>
      <c r="AC121" s="11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</row>
    <row r="122" spans="1:188" ht="15.75" customHeight="1" x14ac:dyDescent="0.35">
      <c r="A122" s="5" t="s">
        <v>1072</v>
      </c>
      <c r="B122" s="75"/>
      <c r="C122" s="11"/>
      <c r="D122" s="11"/>
      <c r="E122" s="7"/>
      <c r="F122" s="68"/>
      <c r="G122" s="8"/>
      <c r="H122" s="7"/>
      <c r="I122" s="7"/>
      <c r="J122" s="8"/>
      <c r="K122" s="8"/>
      <c r="L122" s="7"/>
      <c r="M122" s="7"/>
      <c r="N122" s="7"/>
      <c r="O122" s="7"/>
      <c r="P122" s="7"/>
      <c r="Q122" s="8"/>
      <c r="R122" s="7"/>
      <c r="S122" s="7"/>
      <c r="T122" s="7"/>
      <c r="U122" s="7"/>
      <c r="V122" s="7"/>
      <c r="W122" s="7"/>
      <c r="X122" s="7"/>
      <c r="Y122" s="11"/>
      <c r="Z122" s="11"/>
      <c r="AA122" s="11"/>
      <c r="AB122" s="11"/>
      <c r="AC122" s="11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</row>
    <row r="123" spans="1:188" ht="15.75" customHeight="1" x14ac:dyDescent="0.35">
      <c r="A123" s="73" t="s">
        <v>1073</v>
      </c>
      <c r="B123" s="76"/>
      <c r="C123" s="77"/>
      <c r="D123" s="77"/>
      <c r="E123" s="77"/>
      <c r="F123" s="78"/>
      <c r="G123" s="73"/>
      <c r="H123" s="77"/>
      <c r="I123" s="77"/>
      <c r="J123" s="73"/>
      <c r="K123" s="73"/>
      <c r="L123" s="77"/>
      <c r="M123" s="77"/>
      <c r="N123" s="77"/>
      <c r="O123" s="7"/>
      <c r="P123" s="77"/>
      <c r="Q123" s="73"/>
      <c r="R123" s="77"/>
      <c r="S123" s="77"/>
      <c r="T123" s="77"/>
      <c r="U123" s="77"/>
      <c r="V123" s="77"/>
      <c r="W123" s="77"/>
      <c r="X123" s="77"/>
      <c r="Y123" s="77"/>
      <c r="Z123" s="77"/>
      <c r="AA123" s="77"/>
      <c r="AB123" s="77"/>
      <c r="AC123" s="77"/>
      <c r="AD123" s="77"/>
      <c r="AE123" s="77"/>
      <c r="AF123" s="77"/>
      <c r="AG123" s="77"/>
      <c r="AH123" s="77"/>
      <c r="AI123" s="77"/>
      <c r="AJ123" s="77"/>
      <c r="AK123" s="77"/>
      <c r="AL123" s="77"/>
      <c r="AM123" s="77"/>
      <c r="AN123" s="77"/>
      <c r="AO123" s="77"/>
      <c r="AP123" s="77"/>
      <c r="AQ123" s="77"/>
      <c r="AR123" s="77"/>
      <c r="AS123" s="77"/>
      <c r="AT123" s="77"/>
      <c r="AU123" s="77"/>
      <c r="AV123" s="77"/>
      <c r="AW123" s="77"/>
      <c r="AX123" s="77"/>
      <c r="AY123" s="77"/>
      <c r="AZ123" s="77"/>
      <c r="BA123" s="77"/>
      <c r="BB123" s="77"/>
      <c r="BC123" s="77"/>
      <c r="BD123" s="77"/>
      <c r="BE123" s="77"/>
      <c r="BF123" s="77"/>
      <c r="BG123" s="76"/>
      <c r="BH123" s="76"/>
      <c r="BI123" s="76"/>
      <c r="BJ123" s="76"/>
      <c r="BK123" s="76"/>
      <c r="BL123" s="76"/>
      <c r="BM123" s="76"/>
      <c r="BN123" s="76"/>
      <c r="BO123" s="76"/>
      <c r="BP123" s="76"/>
      <c r="BQ123" s="76"/>
      <c r="BR123" s="76"/>
      <c r="BS123" s="76"/>
      <c r="BT123" s="76"/>
      <c r="BU123" s="76"/>
      <c r="BV123" s="76"/>
      <c r="BW123" s="76"/>
      <c r="BX123" s="76"/>
      <c r="BY123" s="76"/>
      <c r="BZ123" s="76"/>
      <c r="CA123" s="76"/>
      <c r="CB123" s="76"/>
      <c r="CC123" s="76"/>
      <c r="CD123" s="76"/>
      <c r="CE123" s="76"/>
      <c r="CF123" s="76"/>
      <c r="CG123" s="76"/>
      <c r="CH123" s="76"/>
      <c r="CI123" s="76"/>
      <c r="CJ123" s="76"/>
      <c r="CK123" s="76"/>
      <c r="CL123" s="76"/>
      <c r="CM123" s="76"/>
      <c r="CN123" s="76"/>
      <c r="CO123" s="76"/>
      <c r="CP123" s="76"/>
      <c r="CQ123" s="76"/>
      <c r="CR123" s="76"/>
      <c r="CS123" s="76"/>
      <c r="CT123" s="76"/>
      <c r="CU123" s="76"/>
      <c r="CV123" s="76"/>
      <c r="CW123" s="76"/>
      <c r="CX123" s="76"/>
      <c r="CY123" s="76"/>
      <c r="CZ123" s="76"/>
      <c r="DA123" s="76"/>
      <c r="DB123" s="76"/>
      <c r="DC123" s="76"/>
      <c r="DD123" s="76"/>
      <c r="DE123" s="76"/>
      <c r="DF123" s="76"/>
      <c r="DG123" s="76"/>
      <c r="DH123" s="76"/>
      <c r="DI123" s="76"/>
      <c r="DJ123" s="76"/>
      <c r="DK123" s="76"/>
      <c r="DL123" s="76"/>
      <c r="DM123" s="76"/>
      <c r="DN123" s="76"/>
      <c r="DO123" s="76"/>
      <c r="DP123" s="76"/>
      <c r="DQ123" s="76"/>
      <c r="DR123" s="76"/>
      <c r="DS123" s="76"/>
      <c r="DT123" s="76"/>
      <c r="DU123" s="76"/>
      <c r="DV123" s="76"/>
      <c r="DW123" s="76"/>
      <c r="DX123" s="76"/>
      <c r="DY123" s="76"/>
      <c r="DZ123" s="76"/>
      <c r="EA123" s="76"/>
      <c r="EB123" s="76"/>
      <c r="EC123" s="76"/>
      <c r="ED123" s="76"/>
      <c r="EE123" s="76"/>
      <c r="EF123" s="76"/>
      <c r="EG123" s="76"/>
      <c r="EH123" s="76"/>
      <c r="EI123" s="76"/>
      <c r="EJ123" s="76"/>
      <c r="EK123" s="76"/>
      <c r="EL123" s="76"/>
      <c r="EM123" s="76"/>
      <c r="EN123" s="76"/>
      <c r="EO123" s="76"/>
      <c r="EP123" s="76"/>
      <c r="EQ123" s="76"/>
      <c r="ER123" s="76"/>
      <c r="ES123" s="76"/>
      <c r="ET123" s="76"/>
      <c r="EU123" s="76"/>
      <c r="EV123" s="76"/>
      <c r="EW123" s="76"/>
      <c r="EX123" s="76"/>
      <c r="EY123" s="76"/>
      <c r="EZ123" s="76"/>
      <c r="FA123" s="76"/>
      <c r="FB123" s="76"/>
      <c r="FC123" s="76"/>
      <c r="FD123" s="76"/>
      <c r="FE123" s="76"/>
      <c r="FF123" s="76"/>
      <c r="FG123" s="76"/>
      <c r="FH123" s="76"/>
      <c r="FI123" s="76"/>
      <c r="FJ123" s="76"/>
      <c r="FK123" s="76"/>
      <c r="FL123" s="76"/>
      <c r="FM123" s="76"/>
      <c r="FN123" s="76"/>
      <c r="FO123" s="76"/>
      <c r="FP123" s="76"/>
      <c r="FQ123" s="76"/>
      <c r="FR123" s="76"/>
      <c r="FS123" s="76"/>
      <c r="FT123" s="76"/>
      <c r="FU123" s="76"/>
      <c r="FV123" s="76"/>
      <c r="FW123" s="76"/>
      <c r="FX123" s="76"/>
      <c r="FY123" s="76"/>
      <c r="FZ123" s="76"/>
      <c r="GA123" s="76"/>
      <c r="GB123" s="76"/>
      <c r="GC123" s="76"/>
      <c r="GD123" s="76"/>
      <c r="GE123" s="76"/>
      <c r="GF123" s="76"/>
    </row>
    <row r="124" spans="1:188" ht="15.75" customHeight="1" x14ac:dyDescent="0.35">
      <c r="A124" s="73" t="s">
        <v>1074</v>
      </c>
      <c r="B124" s="76"/>
      <c r="C124" s="77"/>
      <c r="D124" s="77"/>
      <c r="E124" s="77"/>
      <c r="F124" s="78"/>
      <c r="G124" s="73"/>
      <c r="H124" s="77"/>
      <c r="I124" s="77"/>
      <c r="J124" s="73"/>
      <c r="K124" s="73"/>
      <c r="L124" s="77"/>
      <c r="M124" s="77"/>
      <c r="N124" s="77"/>
      <c r="O124" s="7"/>
      <c r="P124" s="77"/>
      <c r="Q124" s="73"/>
      <c r="R124" s="77"/>
      <c r="S124" s="77"/>
      <c r="T124" s="77"/>
      <c r="U124" s="77"/>
      <c r="V124" s="77"/>
      <c r="W124" s="77"/>
      <c r="X124" s="77"/>
      <c r="Y124" s="77"/>
      <c r="Z124" s="77"/>
      <c r="AA124" s="77"/>
      <c r="AB124" s="77"/>
      <c r="AC124" s="77"/>
      <c r="AD124" s="77"/>
      <c r="AE124" s="77"/>
      <c r="AF124" s="77"/>
      <c r="AG124" s="77"/>
      <c r="AH124" s="77"/>
      <c r="AI124" s="77"/>
      <c r="AJ124" s="77"/>
      <c r="AK124" s="77"/>
      <c r="AL124" s="77"/>
      <c r="AM124" s="77"/>
      <c r="AN124" s="77"/>
      <c r="AO124" s="77"/>
      <c r="AP124" s="77"/>
      <c r="AQ124" s="77"/>
      <c r="AR124" s="77"/>
      <c r="AS124" s="77"/>
      <c r="AT124" s="77"/>
      <c r="AU124" s="77"/>
      <c r="AV124" s="77"/>
      <c r="AW124" s="77"/>
      <c r="AX124" s="77"/>
      <c r="AY124" s="77"/>
      <c r="AZ124" s="77"/>
      <c r="BA124" s="77"/>
      <c r="BB124" s="77"/>
      <c r="BC124" s="77"/>
      <c r="BD124" s="77"/>
      <c r="BE124" s="77"/>
      <c r="BF124" s="77"/>
      <c r="BG124" s="76"/>
      <c r="BH124" s="76"/>
      <c r="BI124" s="76"/>
      <c r="BJ124" s="76"/>
      <c r="BK124" s="76"/>
      <c r="BL124" s="76"/>
      <c r="BM124" s="76"/>
      <c r="BN124" s="76"/>
      <c r="BO124" s="76"/>
      <c r="BP124" s="76"/>
      <c r="BQ124" s="76"/>
      <c r="BR124" s="76"/>
      <c r="BS124" s="76"/>
      <c r="BT124" s="76"/>
      <c r="BU124" s="76"/>
      <c r="BV124" s="76"/>
      <c r="BW124" s="76"/>
      <c r="BX124" s="76"/>
      <c r="BY124" s="76"/>
      <c r="BZ124" s="76"/>
      <c r="CA124" s="76"/>
      <c r="CB124" s="76"/>
      <c r="CC124" s="76"/>
      <c r="CD124" s="76"/>
      <c r="CE124" s="76"/>
      <c r="CF124" s="76"/>
      <c r="CG124" s="76"/>
      <c r="CH124" s="76"/>
      <c r="CI124" s="76"/>
      <c r="CJ124" s="76"/>
      <c r="CK124" s="76"/>
      <c r="CL124" s="76"/>
      <c r="CM124" s="76"/>
      <c r="CN124" s="76"/>
      <c r="CO124" s="76"/>
      <c r="CP124" s="76"/>
      <c r="CQ124" s="76"/>
      <c r="CR124" s="76"/>
      <c r="CS124" s="76"/>
      <c r="CT124" s="76"/>
      <c r="CU124" s="76"/>
      <c r="CV124" s="76"/>
      <c r="CW124" s="76"/>
      <c r="CX124" s="76"/>
      <c r="CY124" s="76"/>
      <c r="CZ124" s="76"/>
      <c r="DA124" s="76"/>
      <c r="DB124" s="76"/>
      <c r="DC124" s="76"/>
      <c r="DD124" s="76"/>
      <c r="DE124" s="76"/>
      <c r="DF124" s="76"/>
      <c r="DG124" s="76"/>
      <c r="DH124" s="76"/>
      <c r="DI124" s="76"/>
      <c r="DJ124" s="76"/>
      <c r="DK124" s="76"/>
      <c r="DL124" s="76"/>
      <c r="DM124" s="76"/>
      <c r="DN124" s="76"/>
      <c r="DO124" s="76"/>
      <c r="DP124" s="76"/>
      <c r="DQ124" s="76"/>
      <c r="DR124" s="76"/>
      <c r="DS124" s="76"/>
      <c r="DT124" s="76"/>
      <c r="DU124" s="76"/>
      <c r="DV124" s="76"/>
      <c r="DW124" s="76"/>
      <c r="DX124" s="76"/>
      <c r="DY124" s="76"/>
      <c r="DZ124" s="76"/>
      <c r="EA124" s="76"/>
      <c r="EB124" s="76"/>
      <c r="EC124" s="76"/>
      <c r="ED124" s="76"/>
      <c r="EE124" s="76"/>
      <c r="EF124" s="76"/>
      <c r="EG124" s="76"/>
      <c r="EH124" s="76"/>
      <c r="EI124" s="76"/>
      <c r="EJ124" s="76"/>
      <c r="EK124" s="76"/>
      <c r="EL124" s="76"/>
      <c r="EM124" s="76"/>
      <c r="EN124" s="76"/>
      <c r="EO124" s="76"/>
      <c r="EP124" s="76"/>
      <c r="EQ124" s="76"/>
      <c r="ER124" s="76"/>
      <c r="ES124" s="76"/>
      <c r="ET124" s="76"/>
      <c r="EU124" s="76"/>
      <c r="EV124" s="76"/>
      <c r="EW124" s="76"/>
      <c r="EX124" s="76"/>
      <c r="EY124" s="76"/>
      <c r="EZ124" s="76"/>
      <c r="FA124" s="76"/>
      <c r="FB124" s="76"/>
      <c r="FC124" s="76"/>
      <c r="FD124" s="76"/>
      <c r="FE124" s="76"/>
      <c r="FF124" s="76"/>
      <c r="FG124" s="76"/>
      <c r="FH124" s="76"/>
      <c r="FI124" s="76"/>
      <c r="FJ124" s="76"/>
      <c r="FK124" s="76"/>
      <c r="FL124" s="76"/>
      <c r="FM124" s="76"/>
      <c r="FN124" s="76"/>
      <c r="FO124" s="76"/>
      <c r="FP124" s="76"/>
      <c r="FQ124" s="76"/>
      <c r="FR124" s="76"/>
      <c r="FS124" s="76"/>
      <c r="FT124" s="76"/>
      <c r="FU124" s="76"/>
      <c r="FV124" s="76"/>
      <c r="FW124" s="76"/>
      <c r="FX124" s="76"/>
      <c r="FY124" s="76"/>
      <c r="FZ124" s="76"/>
      <c r="GA124" s="76"/>
      <c r="GB124" s="76"/>
      <c r="GC124" s="76"/>
      <c r="GD124" s="76"/>
      <c r="GE124" s="76"/>
      <c r="GF124" s="76"/>
    </row>
  </sheetData>
  <hyperlinks>
    <hyperlink ref="I2" r:id="rId1" xr:uid="{00000000-0004-0000-0000-000000000000}"/>
    <hyperlink ref="I37" r:id="rId2" xr:uid="{00000000-0004-0000-0000-000001000000}"/>
    <hyperlink ref="I45" r:id="rId3" xr:uid="{00000000-0004-0000-0000-000002000000}"/>
    <hyperlink ref="I88" r:id="rId4" xr:uid="{00000000-0004-0000-0000-000003000000}"/>
    <hyperlink ref="I91" r:id="rId5" xr:uid="{00000000-0004-0000-0000-000004000000}"/>
    <hyperlink ref="I92" r:id="rId6" xr:uid="{00000000-0004-0000-0000-000005000000}"/>
    <hyperlink ref="I109" r:id="rId7" xr:uid="{00000000-0004-0000-0000-000006000000}"/>
  </hyperlinks>
  <pageMargins left="0.85069444444444398" right="2.0833333333333301E-2" top="0.27916666666666701" bottom="0.27847222222222201" header="0" footer="0"/>
  <pageSetup paperSize="9" scale="14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0"/>
  <sheetViews>
    <sheetView workbookViewId="0">
      <pane ySplit="2" topLeftCell="A3" activePane="bottomLeft" state="frozen"/>
      <selection pane="bottomLeft" activeCell="B4" sqref="B4"/>
    </sheetView>
  </sheetViews>
  <sheetFormatPr defaultColWidth="12.5703125" defaultRowHeight="15" customHeight="1" x14ac:dyDescent="0.2"/>
  <cols>
    <col min="1" max="1" width="29.7109375" customWidth="1"/>
    <col min="2" max="2" width="14.140625" customWidth="1"/>
    <col min="3" max="3" width="23.42578125" customWidth="1"/>
    <col min="4" max="4" width="29.42578125" customWidth="1"/>
    <col min="5" max="6" width="26.42578125" customWidth="1"/>
    <col min="7" max="11" width="11.42578125" customWidth="1"/>
  </cols>
  <sheetData>
    <row r="1" spans="1:6" ht="24.75" customHeight="1" x14ac:dyDescent="0.3">
      <c r="A1" s="79"/>
      <c r="B1" s="117" t="s">
        <v>0</v>
      </c>
      <c r="C1" s="118"/>
      <c r="D1" s="118"/>
      <c r="E1" s="118"/>
      <c r="F1" s="80"/>
    </row>
    <row r="2" spans="1:6" ht="15.75" x14ac:dyDescent="0.2">
      <c r="A2" s="81" t="s">
        <v>1</v>
      </c>
      <c r="B2" s="82" t="s">
        <v>3</v>
      </c>
      <c r="C2" s="83" t="s">
        <v>40</v>
      </c>
      <c r="D2" s="82" t="s">
        <v>1075</v>
      </c>
      <c r="E2" s="84" t="s">
        <v>1076</v>
      </c>
      <c r="F2" s="84" t="s">
        <v>1077</v>
      </c>
    </row>
    <row r="3" spans="1:6" ht="56.25" customHeight="1" x14ac:dyDescent="0.2">
      <c r="A3" s="85" t="s">
        <v>57</v>
      </c>
      <c r="B3" s="86" t="s">
        <v>59</v>
      </c>
      <c r="C3" s="87" t="s">
        <v>67</v>
      </c>
      <c r="D3" s="88" t="s">
        <v>68</v>
      </c>
      <c r="E3" s="89"/>
      <c r="F3" s="89"/>
    </row>
    <row r="4" spans="1:6" ht="63" x14ac:dyDescent="0.2">
      <c r="A4" s="85" t="s">
        <v>99</v>
      </c>
      <c r="B4" s="86" t="s">
        <v>100</v>
      </c>
      <c r="C4" s="87" t="s">
        <v>67</v>
      </c>
      <c r="D4" s="88" t="s">
        <v>107</v>
      </c>
      <c r="E4" s="89"/>
      <c r="F4" s="89"/>
    </row>
    <row r="5" spans="1:6" ht="56.25" customHeight="1" x14ac:dyDescent="0.2">
      <c r="A5" s="85" t="s">
        <v>108</v>
      </c>
      <c r="B5" s="86" t="s">
        <v>109</v>
      </c>
      <c r="C5" s="87" t="s">
        <v>67</v>
      </c>
      <c r="D5" s="88" t="s">
        <v>59</v>
      </c>
      <c r="E5" s="89"/>
      <c r="F5" s="89"/>
    </row>
    <row r="6" spans="1:6" ht="56.25" customHeight="1" x14ac:dyDescent="0.2">
      <c r="A6" s="85" t="s">
        <v>117</v>
      </c>
      <c r="B6" s="86" t="s">
        <v>118</v>
      </c>
      <c r="C6" s="87" t="s">
        <v>67</v>
      </c>
      <c r="D6" s="88" t="s">
        <v>124</v>
      </c>
      <c r="E6" s="89"/>
      <c r="F6" s="89"/>
    </row>
    <row r="7" spans="1:6" ht="56.25" customHeight="1" x14ac:dyDescent="0.2">
      <c r="A7" s="85" t="s">
        <v>128</v>
      </c>
      <c r="B7" s="86" t="s">
        <v>129</v>
      </c>
      <c r="C7" s="87" t="s">
        <v>134</v>
      </c>
      <c r="D7" s="88" t="s">
        <v>68</v>
      </c>
      <c r="E7" s="89"/>
      <c r="F7" s="89"/>
    </row>
    <row r="8" spans="1:6" ht="56.25" customHeight="1" x14ac:dyDescent="0.2">
      <c r="A8" s="85" t="s">
        <v>145</v>
      </c>
      <c r="B8" s="86" t="s">
        <v>129</v>
      </c>
      <c r="C8" s="87" t="s">
        <v>134</v>
      </c>
      <c r="D8" s="88" t="s">
        <v>68</v>
      </c>
      <c r="E8" s="89"/>
      <c r="F8" s="89"/>
    </row>
    <row r="9" spans="1:6" ht="56.25" customHeight="1" x14ac:dyDescent="0.2">
      <c r="A9" s="85" t="s">
        <v>156</v>
      </c>
      <c r="B9" s="86" t="s">
        <v>129</v>
      </c>
      <c r="C9" s="87" t="s">
        <v>134</v>
      </c>
      <c r="D9" s="88" t="s">
        <v>68</v>
      </c>
      <c r="E9" s="89"/>
      <c r="F9" s="89"/>
    </row>
    <row r="10" spans="1:6" ht="56.25" customHeight="1" x14ac:dyDescent="0.2">
      <c r="A10" s="85" t="s">
        <v>128</v>
      </c>
      <c r="B10" s="86" t="s">
        <v>165</v>
      </c>
      <c r="C10" s="87" t="s">
        <v>134</v>
      </c>
      <c r="D10" s="88" t="s">
        <v>107</v>
      </c>
      <c r="E10" s="89"/>
      <c r="F10" s="89"/>
    </row>
    <row r="11" spans="1:6" ht="76.5" customHeight="1" x14ac:dyDescent="0.2">
      <c r="A11" s="85" t="s">
        <v>174</v>
      </c>
      <c r="B11" s="86" t="s">
        <v>165</v>
      </c>
      <c r="C11" s="87" t="s">
        <v>134</v>
      </c>
      <c r="D11" s="88" t="s">
        <v>107</v>
      </c>
      <c r="E11" s="89"/>
      <c r="F11" s="89"/>
    </row>
    <row r="12" spans="1:6" ht="56.25" customHeight="1" x14ac:dyDescent="0.2">
      <c r="A12" s="85" t="s">
        <v>187</v>
      </c>
      <c r="B12" s="86" t="s">
        <v>165</v>
      </c>
      <c r="C12" s="87" t="s">
        <v>134</v>
      </c>
      <c r="D12" s="88" t="s">
        <v>107</v>
      </c>
      <c r="E12" s="89"/>
      <c r="F12" s="89"/>
    </row>
    <row r="13" spans="1:6" ht="56.25" customHeight="1" x14ac:dyDescent="0.2">
      <c r="A13" s="85" t="s">
        <v>156</v>
      </c>
      <c r="B13" s="86" t="s">
        <v>165</v>
      </c>
      <c r="C13" s="87" t="s">
        <v>134</v>
      </c>
      <c r="D13" s="88" t="s">
        <v>107</v>
      </c>
      <c r="E13" s="89"/>
      <c r="F13" s="89"/>
    </row>
    <row r="14" spans="1:6" ht="56.25" customHeight="1" x14ac:dyDescent="0.2">
      <c r="A14" s="85" t="s">
        <v>128</v>
      </c>
      <c r="B14" s="86" t="s">
        <v>201</v>
      </c>
      <c r="C14" s="87" t="s">
        <v>134</v>
      </c>
      <c r="D14" s="88" t="s">
        <v>204</v>
      </c>
      <c r="E14" s="89"/>
      <c r="F14" s="89"/>
    </row>
    <row r="15" spans="1:6" ht="56.25" customHeight="1" x14ac:dyDescent="0.2">
      <c r="A15" s="85" t="s">
        <v>211</v>
      </c>
      <c r="B15" s="86" t="s">
        <v>201</v>
      </c>
      <c r="C15" s="87" t="s">
        <v>134</v>
      </c>
      <c r="D15" s="88" t="s">
        <v>204</v>
      </c>
      <c r="E15" s="89"/>
      <c r="F15" s="89"/>
    </row>
    <row r="16" spans="1:6" ht="56.25" customHeight="1" x14ac:dyDescent="0.2">
      <c r="A16" s="85" t="s">
        <v>156</v>
      </c>
      <c r="B16" s="86" t="s">
        <v>201</v>
      </c>
      <c r="C16" s="87" t="s">
        <v>134</v>
      </c>
      <c r="D16" s="88" t="s">
        <v>204</v>
      </c>
      <c r="E16" s="89"/>
      <c r="F16" s="89"/>
    </row>
    <row r="17" spans="1:6" ht="56.25" customHeight="1" x14ac:dyDescent="0.2">
      <c r="A17" s="85" t="s">
        <v>223</v>
      </c>
      <c r="B17" s="86" t="s">
        <v>201</v>
      </c>
      <c r="C17" s="87" t="s">
        <v>134</v>
      </c>
      <c r="D17" s="88" t="s">
        <v>204</v>
      </c>
      <c r="E17" s="89"/>
      <c r="F17" s="89"/>
    </row>
    <row r="18" spans="1:6" ht="56.25" customHeight="1" x14ac:dyDescent="0.2">
      <c r="A18" s="85" t="s">
        <v>145</v>
      </c>
      <c r="B18" s="86" t="s">
        <v>201</v>
      </c>
      <c r="C18" s="87" t="s">
        <v>134</v>
      </c>
      <c r="D18" s="88" t="s">
        <v>204</v>
      </c>
      <c r="E18" s="89"/>
      <c r="F18" s="89"/>
    </row>
    <row r="19" spans="1:6" ht="56.25" customHeight="1" x14ac:dyDescent="0.2">
      <c r="A19" s="85" t="s">
        <v>238</v>
      </c>
      <c r="B19" s="86" t="s">
        <v>201</v>
      </c>
      <c r="C19" s="87" t="s">
        <v>134</v>
      </c>
      <c r="D19" s="88" t="s">
        <v>204</v>
      </c>
      <c r="E19" s="89"/>
      <c r="F19" s="89"/>
    </row>
    <row r="20" spans="1:6" ht="56.25" customHeight="1" x14ac:dyDescent="0.2">
      <c r="A20" s="85" t="s">
        <v>145</v>
      </c>
      <c r="B20" s="86" t="s">
        <v>244</v>
      </c>
      <c r="C20" s="87" t="s">
        <v>247</v>
      </c>
      <c r="D20" s="88" t="s">
        <v>248</v>
      </c>
      <c r="E20" s="89"/>
      <c r="F20" s="89"/>
    </row>
    <row r="21" spans="1:6" ht="56.25" customHeight="1" x14ac:dyDescent="0.2">
      <c r="A21" s="90" t="s">
        <v>250</v>
      </c>
      <c r="B21" s="86" t="s">
        <v>251</v>
      </c>
      <c r="C21" s="87" t="s">
        <v>134</v>
      </c>
      <c r="D21" s="88" t="s">
        <v>59</v>
      </c>
      <c r="E21" s="89"/>
      <c r="F21" s="89"/>
    </row>
    <row r="22" spans="1:6" ht="56.25" customHeight="1" x14ac:dyDescent="0.2">
      <c r="A22" s="91" t="s">
        <v>261</v>
      </c>
      <c r="B22" s="86" t="s">
        <v>262</v>
      </c>
      <c r="C22" s="87" t="s">
        <v>134</v>
      </c>
      <c r="D22" s="88" t="s">
        <v>100</v>
      </c>
      <c r="E22" s="89"/>
      <c r="F22" s="89"/>
    </row>
    <row r="23" spans="1:6" ht="56.25" customHeight="1" x14ac:dyDescent="0.2">
      <c r="A23" s="92" t="s">
        <v>272</v>
      </c>
      <c r="B23" s="86" t="s">
        <v>273</v>
      </c>
      <c r="C23" s="87" t="s">
        <v>134</v>
      </c>
      <c r="D23" s="88" t="s">
        <v>124</v>
      </c>
      <c r="E23" s="89"/>
      <c r="F23" s="89"/>
    </row>
    <row r="24" spans="1:6" ht="56.25" customHeight="1" x14ac:dyDescent="0.2">
      <c r="A24" s="92" t="s">
        <v>174</v>
      </c>
      <c r="B24" s="86" t="s">
        <v>273</v>
      </c>
      <c r="C24" s="87" t="s">
        <v>134</v>
      </c>
      <c r="D24" s="88" t="s">
        <v>124</v>
      </c>
      <c r="E24" s="89"/>
      <c r="F24" s="89"/>
    </row>
    <row r="25" spans="1:6" ht="56.25" customHeight="1" x14ac:dyDescent="0.2">
      <c r="A25" s="85" t="s">
        <v>289</v>
      </c>
      <c r="B25" s="86" t="s">
        <v>273</v>
      </c>
      <c r="C25" s="87" t="s">
        <v>134</v>
      </c>
      <c r="D25" s="88" t="s">
        <v>124</v>
      </c>
      <c r="E25" s="89"/>
      <c r="F25" s="89"/>
    </row>
    <row r="26" spans="1:6" ht="56.25" customHeight="1" x14ac:dyDescent="0.2">
      <c r="A26" s="85" t="s">
        <v>297</v>
      </c>
      <c r="B26" s="86" t="s">
        <v>273</v>
      </c>
      <c r="C26" s="87" t="s">
        <v>134</v>
      </c>
      <c r="D26" s="88" t="s">
        <v>124</v>
      </c>
      <c r="E26" s="89"/>
      <c r="F26" s="89"/>
    </row>
    <row r="27" spans="1:6" ht="56.25" customHeight="1" x14ac:dyDescent="0.2">
      <c r="A27" s="85" t="s">
        <v>303</v>
      </c>
      <c r="B27" s="86" t="s">
        <v>273</v>
      </c>
      <c r="C27" s="87" t="s">
        <v>134</v>
      </c>
      <c r="D27" s="88" t="s">
        <v>124</v>
      </c>
      <c r="E27" s="89"/>
      <c r="F27" s="89"/>
    </row>
    <row r="28" spans="1:6" ht="56.25" customHeight="1" x14ac:dyDescent="0.2">
      <c r="A28" s="85" t="s">
        <v>309</v>
      </c>
      <c r="B28" s="86" t="s">
        <v>273</v>
      </c>
      <c r="C28" s="87" t="s">
        <v>134</v>
      </c>
      <c r="D28" s="88" t="s">
        <v>124</v>
      </c>
      <c r="E28" s="89"/>
      <c r="F28" s="89"/>
    </row>
    <row r="29" spans="1:6" ht="56.25" customHeight="1" x14ac:dyDescent="0.2">
      <c r="A29" s="85" t="s">
        <v>315</v>
      </c>
      <c r="B29" s="86" t="s">
        <v>316</v>
      </c>
      <c r="C29" s="87" t="s">
        <v>322</v>
      </c>
      <c r="D29" s="88" t="s">
        <v>68</v>
      </c>
      <c r="E29" s="89"/>
      <c r="F29" s="89"/>
    </row>
    <row r="30" spans="1:6" ht="56.25" customHeight="1" x14ac:dyDescent="0.2">
      <c r="A30" s="85" t="s">
        <v>327</v>
      </c>
      <c r="B30" s="86" t="s">
        <v>328</v>
      </c>
      <c r="C30" s="87" t="s">
        <v>322</v>
      </c>
      <c r="D30" s="88" t="s">
        <v>107</v>
      </c>
      <c r="E30" s="89"/>
      <c r="F30" s="89"/>
    </row>
    <row r="31" spans="1:6" ht="56.25" customHeight="1" x14ac:dyDescent="0.2">
      <c r="A31" s="92" t="s">
        <v>339</v>
      </c>
      <c r="B31" s="86" t="s">
        <v>328</v>
      </c>
      <c r="C31" s="87" t="s">
        <v>322</v>
      </c>
      <c r="D31" s="88" t="s">
        <v>107</v>
      </c>
      <c r="E31" s="89"/>
      <c r="F31" s="89"/>
    </row>
    <row r="32" spans="1:6" ht="56.25" customHeight="1" x14ac:dyDescent="0.2">
      <c r="A32" s="85" t="s">
        <v>348</v>
      </c>
      <c r="B32" s="86" t="s">
        <v>349</v>
      </c>
      <c r="C32" s="87" t="s">
        <v>247</v>
      </c>
      <c r="D32" s="88" t="s">
        <v>349</v>
      </c>
      <c r="E32" s="89"/>
      <c r="F32" s="89"/>
    </row>
    <row r="33" spans="1:6" ht="56.25" customHeight="1" x14ac:dyDescent="0.2">
      <c r="A33" s="93" t="s">
        <v>359</v>
      </c>
      <c r="B33" s="86" t="s">
        <v>360</v>
      </c>
      <c r="C33" s="87" t="s">
        <v>67</v>
      </c>
      <c r="D33" s="88" t="s">
        <v>366</v>
      </c>
      <c r="E33" s="89"/>
      <c r="F33" s="89"/>
    </row>
    <row r="34" spans="1:6" ht="56.25" customHeight="1" x14ac:dyDescent="0.2">
      <c r="A34" s="93" t="s">
        <v>369</v>
      </c>
      <c r="B34" s="86" t="s">
        <v>370</v>
      </c>
      <c r="C34" s="87" t="s">
        <v>67</v>
      </c>
      <c r="D34" s="88" t="s">
        <v>375</v>
      </c>
      <c r="E34" s="89"/>
      <c r="F34" s="89"/>
    </row>
    <row r="35" spans="1:6" ht="56.25" customHeight="1" x14ac:dyDescent="0.2">
      <c r="A35" s="93" t="s">
        <v>376</v>
      </c>
      <c r="B35" s="86" t="s">
        <v>377</v>
      </c>
      <c r="C35" s="87" t="s">
        <v>67</v>
      </c>
      <c r="D35" s="88" t="s">
        <v>384</v>
      </c>
      <c r="E35" s="89"/>
      <c r="F35" s="89"/>
    </row>
    <row r="36" spans="1:6" ht="56.25" customHeight="1" x14ac:dyDescent="0.2">
      <c r="A36" s="93" t="s">
        <v>385</v>
      </c>
      <c r="B36" s="86" t="s">
        <v>386</v>
      </c>
      <c r="C36" s="87" t="s">
        <v>67</v>
      </c>
      <c r="D36" s="88" t="s">
        <v>391</v>
      </c>
      <c r="E36" s="89"/>
      <c r="F36" s="89"/>
    </row>
    <row r="37" spans="1:6" ht="56.25" customHeight="1" x14ac:dyDescent="0.2">
      <c r="A37" s="93" t="s">
        <v>394</v>
      </c>
      <c r="B37" s="86" t="s">
        <v>395</v>
      </c>
      <c r="C37" s="87" t="s">
        <v>67</v>
      </c>
      <c r="D37" s="88" t="s">
        <v>248</v>
      </c>
      <c r="E37" s="89"/>
      <c r="F37" s="89"/>
    </row>
    <row r="38" spans="1:6" ht="56.25" customHeight="1" x14ac:dyDescent="0.2">
      <c r="A38" s="93" t="s">
        <v>426</v>
      </c>
      <c r="B38" s="86" t="s">
        <v>404</v>
      </c>
      <c r="C38" s="87" t="s">
        <v>411</v>
      </c>
      <c r="D38" s="88" t="s">
        <v>68</v>
      </c>
      <c r="E38" s="89"/>
      <c r="F38" s="89"/>
    </row>
    <row r="39" spans="1:6" ht="56.25" customHeight="1" x14ac:dyDescent="0.2">
      <c r="A39" s="93" t="s">
        <v>416</v>
      </c>
      <c r="B39" s="86" t="s">
        <v>404</v>
      </c>
      <c r="C39" s="87" t="s">
        <v>411</v>
      </c>
      <c r="D39" s="88" t="s">
        <v>68</v>
      </c>
      <c r="E39" s="89"/>
      <c r="F39" s="89"/>
    </row>
    <row r="40" spans="1:6" ht="56.25" customHeight="1" x14ac:dyDescent="0.2">
      <c r="A40" s="93" t="s">
        <v>431</v>
      </c>
      <c r="B40" s="86" t="s">
        <v>404</v>
      </c>
      <c r="C40" s="87" t="s">
        <v>411</v>
      </c>
      <c r="D40" s="88" t="s">
        <v>68</v>
      </c>
      <c r="E40" s="89"/>
      <c r="F40" s="89"/>
    </row>
    <row r="41" spans="1:6" ht="56.25" customHeight="1" x14ac:dyDescent="0.2">
      <c r="A41" s="94" t="s">
        <v>436</v>
      </c>
      <c r="B41" s="86" t="s">
        <v>404</v>
      </c>
      <c r="C41" s="87" t="s">
        <v>411</v>
      </c>
      <c r="D41" s="88" t="s">
        <v>68</v>
      </c>
      <c r="E41" s="89"/>
      <c r="F41" s="89"/>
    </row>
    <row r="42" spans="1:6" ht="56.25" customHeight="1" x14ac:dyDescent="0.2">
      <c r="A42" s="94" t="s">
        <v>441</v>
      </c>
      <c r="B42" s="86" t="s">
        <v>404</v>
      </c>
      <c r="C42" s="87" t="s">
        <v>411</v>
      </c>
      <c r="D42" s="88" t="s">
        <v>68</v>
      </c>
      <c r="E42" s="89"/>
      <c r="F42" s="89"/>
    </row>
    <row r="43" spans="1:6" ht="56.25" customHeight="1" x14ac:dyDescent="0.2">
      <c r="A43" s="94" t="s">
        <v>446</v>
      </c>
      <c r="B43" s="86" t="s">
        <v>404</v>
      </c>
      <c r="C43" s="87" t="s">
        <v>411</v>
      </c>
      <c r="D43" s="88" t="s">
        <v>68</v>
      </c>
      <c r="E43" s="89"/>
      <c r="F43" s="89"/>
    </row>
    <row r="44" spans="1:6" ht="56.25" customHeight="1" x14ac:dyDescent="0.2">
      <c r="A44" s="94" t="s">
        <v>421</v>
      </c>
      <c r="B44" s="86" t="s">
        <v>404</v>
      </c>
      <c r="C44" s="87" t="s">
        <v>411</v>
      </c>
      <c r="D44" s="88" t="s">
        <v>68</v>
      </c>
      <c r="E44" s="89"/>
      <c r="F44" s="89"/>
    </row>
    <row r="45" spans="1:6" ht="56.25" customHeight="1" x14ac:dyDescent="0.2">
      <c r="A45" s="95" t="s">
        <v>452</v>
      </c>
      <c r="B45" s="86" t="s">
        <v>404</v>
      </c>
      <c r="C45" s="87" t="s">
        <v>411</v>
      </c>
      <c r="D45" s="88" t="s">
        <v>68</v>
      </c>
      <c r="E45" s="89"/>
      <c r="F45" s="89"/>
    </row>
    <row r="46" spans="1:6" ht="56.25" customHeight="1" x14ac:dyDescent="0.2">
      <c r="A46" s="96" t="s">
        <v>403</v>
      </c>
      <c r="B46" s="97" t="s">
        <v>404</v>
      </c>
      <c r="C46" s="98" t="s">
        <v>411</v>
      </c>
      <c r="D46" s="99" t="s">
        <v>68</v>
      </c>
      <c r="E46" s="89"/>
      <c r="F46" s="89"/>
    </row>
    <row r="47" spans="1:6" ht="56.25" customHeight="1" x14ac:dyDescent="0.2">
      <c r="A47" s="100" t="s">
        <v>459</v>
      </c>
      <c r="B47" s="97" t="s">
        <v>404</v>
      </c>
      <c r="C47" s="98" t="s">
        <v>411</v>
      </c>
      <c r="D47" s="99" t="s">
        <v>68</v>
      </c>
      <c r="E47" s="89"/>
      <c r="F47" s="89"/>
    </row>
    <row r="48" spans="1:6" ht="56.25" customHeight="1" x14ac:dyDescent="0.2">
      <c r="A48" s="96" t="s">
        <v>464</v>
      </c>
      <c r="B48" s="97" t="s">
        <v>404</v>
      </c>
      <c r="C48" s="98" t="s">
        <v>411</v>
      </c>
      <c r="D48" s="99" t="s">
        <v>68</v>
      </c>
      <c r="E48" s="89"/>
      <c r="F48" s="89"/>
    </row>
    <row r="49" spans="1:6" ht="56.25" customHeight="1" x14ac:dyDescent="0.2">
      <c r="A49" s="101" t="s">
        <v>467</v>
      </c>
      <c r="B49" s="86" t="s">
        <v>469</v>
      </c>
      <c r="C49" s="87" t="s">
        <v>247</v>
      </c>
      <c r="D49" s="88" t="s">
        <v>118</v>
      </c>
      <c r="E49" s="89"/>
      <c r="F49" s="89"/>
    </row>
    <row r="50" spans="1:6" ht="56.25" customHeight="1" x14ac:dyDescent="0.2">
      <c r="A50" s="93" t="s">
        <v>385</v>
      </c>
      <c r="B50" s="86" t="s">
        <v>477</v>
      </c>
      <c r="C50" s="87" t="s">
        <v>67</v>
      </c>
      <c r="D50" s="88" t="s">
        <v>480</v>
      </c>
      <c r="E50" s="89"/>
      <c r="F50" s="89"/>
    </row>
    <row r="51" spans="1:6" ht="56.25" customHeight="1" x14ac:dyDescent="0.2">
      <c r="A51" s="96" t="s">
        <v>482</v>
      </c>
      <c r="B51" s="97" t="s">
        <v>483</v>
      </c>
      <c r="C51" s="98" t="s">
        <v>489</v>
      </c>
      <c r="D51" s="99" t="s">
        <v>100</v>
      </c>
      <c r="E51" s="89"/>
      <c r="F51" s="89"/>
    </row>
    <row r="52" spans="1:6" ht="56.25" customHeight="1" x14ac:dyDescent="0.2">
      <c r="A52" s="96" t="s">
        <v>496</v>
      </c>
      <c r="B52" s="97" t="s">
        <v>483</v>
      </c>
      <c r="C52" s="98" t="s">
        <v>489</v>
      </c>
      <c r="D52" s="99" t="s">
        <v>100</v>
      </c>
      <c r="E52" s="89"/>
      <c r="F52" s="89"/>
    </row>
    <row r="53" spans="1:6" ht="56.25" customHeight="1" x14ac:dyDescent="0.2">
      <c r="A53" s="93" t="s">
        <v>501</v>
      </c>
      <c r="B53" s="97" t="s">
        <v>502</v>
      </c>
      <c r="C53" s="98" t="s">
        <v>489</v>
      </c>
      <c r="D53" s="99" t="s">
        <v>366</v>
      </c>
      <c r="E53" s="89"/>
      <c r="F53" s="89"/>
    </row>
    <row r="54" spans="1:6" ht="56.25" customHeight="1" x14ac:dyDescent="0.2">
      <c r="A54" s="93" t="s">
        <v>517</v>
      </c>
      <c r="B54" s="97" t="s">
        <v>518</v>
      </c>
      <c r="C54" s="98" t="s">
        <v>489</v>
      </c>
      <c r="D54" s="99" t="s">
        <v>366</v>
      </c>
      <c r="E54" s="89"/>
      <c r="F54" s="89"/>
    </row>
    <row r="55" spans="1:6" ht="56.25" customHeight="1" x14ac:dyDescent="0.2">
      <c r="A55" s="102" t="s">
        <v>527</v>
      </c>
      <c r="B55" s="97" t="s">
        <v>528</v>
      </c>
      <c r="C55" s="98" t="s">
        <v>489</v>
      </c>
      <c r="D55" s="99" t="s">
        <v>375</v>
      </c>
      <c r="E55" s="89"/>
      <c r="F55" s="89"/>
    </row>
    <row r="56" spans="1:6" ht="56.25" customHeight="1" x14ac:dyDescent="0.2">
      <c r="A56" s="103" t="s">
        <v>542</v>
      </c>
      <c r="B56" s="86" t="s">
        <v>543</v>
      </c>
      <c r="C56" s="87" t="s">
        <v>489</v>
      </c>
      <c r="D56" s="88" t="s">
        <v>391</v>
      </c>
      <c r="E56" s="89"/>
      <c r="F56" s="89"/>
    </row>
    <row r="57" spans="1:6" ht="56.25" customHeight="1" x14ac:dyDescent="0.2">
      <c r="A57" s="93" t="s">
        <v>554</v>
      </c>
      <c r="B57" s="86" t="s">
        <v>555</v>
      </c>
      <c r="C57" s="87" t="s">
        <v>67</v>
      </c>
      <c r="D57" s="88" t="s">
        <v>561</v>
      </c>
      <c r="E57" s="89"/>
      <c r="F57" s="89"/>
    </row>
    <row r="58" spans="1:6" ht="56.25" customHeight="1" x14ac:dyDescent="0.2">
      <c r="A58" s="93" t="s">
        <v>327</v>
      </c>
      <c r="B58" s="97" t="s">
        <v>564</v>
      </c>
      <c r="C58" s="98" t="s">
        <v>489</v>
      </c>
      <c r="D58" s="99" t="s">
        <v>248</v>
      </c>
      <c r="E58" s="89"/>
      <c r="F58" s="89"/>
    </row>
    <row r="59" spans="1:6" ht="56.25" customHeight="1" x14ac:dyDescent="0.2">
      <c r="A59" s="93" t="s">
        <v>573</v>
      </c>
      <c r="B59" s="86" t="s">
        <v>574</v>
      </c>
      <c r="C59" s="87" t="s">
        <v>67</v>
      </c>
      <c r="D59" s="88" t="s">
        <v>579</v>
      </c>
      <c r="E59" s="89"/>
      <c r="F59" s="89"/>
    </row>
    <row r="60" spans="1:6" ht="56.25" customHeight="1" x14ac:dyDescent="0.2">
      <c r="A60" s="93" t="s">
        <v>581</v>
      </c>
      <c r="B60" s="86" t="s">
        <v>582</v>
      </c>
      <c r="C60" s="87" t="s">
        <v>67</v>
      </c>
      <c r="D60" s="88" t="s">
        <v>586</v>
      </c>
      <c r="E60" s="89"/>
      <c r="F60" s="89"/>
    </row>
    <row r="61" spans="1:6" ht="56.25" customHeight="1" x14ac:dyDescent="0.2">
      <c r="A61" s="93" t="s">
        <v>588</v>
      </c>
      <c r="B61" s="97" t="s">
        <v>589</v>
      </c>
      <c r="C61" s="98" t="s">
        <v>489</v>
      </c>
      <c r="D61" s="99" t="s">
        <v>480</v>
      </c>
      <c r="E61" s="89"/>
      <c r="F61" s="89"/>
    </row>
    <row r="62" spans="1:6" ht="56.25" customHeight="1" x14ac:dyDescent="0.2">
      <c r="A62" s="93" t="s">
        <v>600</v>
      </c>
      <c r="B62" s="97" t="s">
        <v>601</v>
      </c>
      <c r="C62" s="98" t="s">
        <v>489</v>
      </c>
      <c r="D62" s="99" t="s">
        <v>480</v>
      </c>
      <c r="E62" s="89"/>
      <c r="F62" s="89"/>
    </row>
    <row r="63" spans="1:6" ht="56.25" customHeight="1" x14ac:dyDescent="0.2">
      <c r="A63" s="93" t="s">
        <v>609</v>
      </c>
      <c r="B63" s="97" t="s">
        <v>610</v>
      </c>
      <c r="C63" s="98" t="s">
        <v>489</v>
      </c>
      <c r="D63" s="99" t="s">
        <v>480</v>
      </c>
      <c r="E63" s="89"/>
      <c r="F63" s="89"/>
    </row>
    <row r="64" spans="1:6" ht="56.25" customHeight="1" x14ac:dyDescent="0.2">
      <c r="A64" s="93" t="s">
        <v>617</v>
      </c>
      <c r="B64" s="97" t="s">
        <v>618</v>
      </c>
      <c r="C64" s="98" t="s">
        <v>489</v>
      </c>
      <c r="D64" s="99" t="s">
        <v>480</v>
      </c>
      <c r="E64" s="89"/>
      <c r="F64" s="89"/>
    </row>
    <row r="65" spans="1:6" ht="56.25" customHeight="1" x14ac:dyDescent="0.2">
      <c r="A65" s="93" t="s">
        <v>625</v>
      </c>
      <c r="B65" s="97" t="s">
        <v>626</v>
      </c>
      <c r="C65" s="98" t="s">
        <v>489</v>
      </c>
      <c r="D65" s="99" t="s">
        <v>480</v>
      </c>
      <c r="E65" s="89"/>
      <c r="F65" s="89"/>
    </row>
    <row r="66" spans="1:6" ht="56.25" customHeight="1" x14ac:dyDescent="0.2">
      <c r="A66" s="93" t="s">
        <v>174</v>
      </c>
      <c r="B66" s="97" t="s">
        <v>633</v>
      </c>
      <c r="C66" s="98" t="s">
        <v>489</v>
      </c>
      <c r="D66" s="99" t="s">
        <v>480</v>
      </c>
      <c r="E66" s="89"/>
      <c r="F66" s="89"/>
    </row>
    <row r="67" spans="1:6" ht="56.25" customHeight="1" x14ac:dyDescent="0.2">
      <c r="A67" s="93" t="s">
        <v>223</v>
      </c>
      <c r="B67" s="97" t="s">
        <v>639</v>
      </c>
      <c r="C67" s="98" t="s">
        <v>489</v>
      </c>
      <c r="D67" s="99" t="s">
        <v>480</v>
      </c>
      <c r="E67" s="89"/>
      <c r="F67" s="89"/>
    </row>
    <row r="68" spans="1:6" ht="56.25" customHeight="1" x14ac:dyDescent="0.2">
      <c r="A68" s="93" t="s">
        <v>645</v>
      </c>
      <c r="B68" s="97" t="s">
        <v>646</v>
      </c>
      <c r="C68" s="98" t="s">
        <v>489</v>
      </c>
      <c r="D68" s="99" t="s">
        <v>480</v>
      </c>
      <c r="E68" s="89"/>
      <c r="F68" s="89"/>
    </row>
    <row r="69" spans="1:6" ht="56.25" customHeight="1" x14ac:dyDescent="0.2">
      <c r="A69" s="93" t="s">
        <v>654</v>
      </c>
      <c r="B69" s="97" t="s">
        <v>655</v>
      </c>
      <c r="C69" s="98" t="s">
        <v>489</v>
      </c>
      <c r="D69" s="99" t="s">
        <v>480</v>
      </c>
      <c r="E69" s="89"/>
      <c r="F69" s="89"/>
    </row>
    <row r="70" spans="1:6" ht="56.25" customHeight="1" x14ac:dyDescent="0.2">
      <c r="A70" s="93" t="s">
        <v>662</v>
      </c>
      <c r="B70" s="97" t="s">
        <v>663</v>
      </c>
      <c r="C70" s="98" t="s">
        <v>489</v>
      </c>
      <c r="D70" s="99" t="s">
        <v>480</v>
      </c>
      <c r="E70" s="89"/>
      <c r="F70" s="89"/>
    </row>
    <row r="71" spans="1:6" ht="56.25" customHeight="1" x14ac:dyDescent="0.2">
      <c r="A71" s="93" t="s">
        <v>669</v>
      </c>
      <c r="B71" s="97" t="s">
        <v>670</v>
      </c>
      <c r="C71" s="98" t="s">
        <v>489</v>
      </c>
      <c r="D71" s="99" t="s">
        <v>480</v>
      </c>
      <c r="E71" s="89"/>
      <c r="F71" s="89"/>
    </row>
    <row r="72" spans="1:6" ht="56.25" customHeight="1" x14ac:dyDescent="0.2">
      <c r="A72" s="93" t="s">
        <v>683</v>
      </c>
      <c r="B72" s="97" t="s">
        <v>684</v>
      </c>
      <c r="C72" s="98" t="s">
        <v>690</v>
      </c>
      <c r="D72" s="99" t="s">
        <v>384</v>
      </c>
      <c r="E72" s="89"/>
      <c r="F72" s="89"/>
    </row>
    <row r="73" spans="1:6" ht="56.25" customHeight="1" x14ac:dyDescent="0.2">
      <c r="A73" s="101" t="s">
        <v>694</v>
      </c>
      <c r="B73" s="86" t="s">
        <v>695</v>
      </c>
      <c r="C73" s="87" t="s">
        <v>489</v>
      </c>
      <c r="D73" s="88" t="s">
        <v>561</v>
      </c>
      <c r="E73" s="89"/>
      <c r="F73" s="89"/>
    </row>
    <row r="74" spans="1:6" ht="56.25" customHeight="1" x14ac:dyDescent="0.2">
      <c r="A74" s="93" t="s">
        <v>705</v>
      </c>
      <c r="B74" s="86" t="s">
        <v>706</v>
      </c>
      <c r="C74" s="87" t="s">
        <v>67</v>
      </c>
      <c r="D74" s="88" t="s">
        <v>349</v>
      </c>
      <c r="E74" s="89"/>
      <c r="F74" s="89"/>
    </row>
    <row r="75" spans="1:6" ht="56.25" customHeight="1" x14ac:dyDescent="0.2">
      <c r="A75" s="101" t="s">
        <v>715</v>
      </c>
      <c r="B75" s="86" t="s">
        <v>716</v>
      </c>
      <c r="C75" s="87" t="s">
        <v>247</v>
      </c>
      <c r="D75" s="88" t="s">
        <v>722</v>
      </c>
      <c r="E75" s="89"/>
      <c r="F75" s="89"/>
    </row>
    <row r="76" spans="1:6" ht="56.25" customHeight="1" x14ac:dyDescent="0.2">
      <c r="A76" s="101" t="s">
        <v>725</v>
      </c>
      <c r="B76" s="86" t="s">
        <v>726</v>
      </c>
      <c r="C76" s="87" t="s">
        <v>247</v>
      </c>
      <c r="D76" s="88" t="s">
        <v>731</v>
      </c>
      <c r="E76" s="89"/>
      <c r="F76" s="89"/>
    </row>
    <row r="77" spans="1:6" ht="56.25" customHeight="1" x14ac:dyDescent="0.2">
      <c r="A77" s="101" t="s">
        <v>734</v>
      </c>
      <c r="B77" s="86" t="s">
        <v>735</v>
      </c>
      <c r="C77" s="87" t="s">
        <v>690</v>
      </c>
      <c r="D77" s="88" t="s">
        <v>480</v>
      </c>
      <c r="E77" s="89"/>
      <c r="F77" s="89"/>
    </row>
    <row r="78" spans="1:6" ht="56.25" customHeight="1" x14ac:dyDescent="0.2">
      <c r="A78" s="101" t="s">
        <v>743</v>
      </c>
      <c r="B78" s="86" t="s">
        <v>744</v>
      </c>
      <c r="C78" s="87" t="s">
        <v>690</v>
      </c>
      <c r="D78" s="88" t="s">
        <v>480</v>
      </c>
      <c r="E78" s="89"/>
      <c r="F78" s="89"/>
    </row>
    <row r="79" spans="1:6" ht="56.25" customHeight="1" x14ac:dyDescent="0.2">
      <c r="A79" s="101" t="s">
        <v>748</v>
      </c>
      <c r="B79" s="86" t="s">
        <v>104</v>
      </c>
      <c r="C79" s="87" t="s">
        <v>754</v>
      </c>
      <c r="D79" s="88" t="s">
        <v>107</v>
      </c>
      <c r="E79" s="89"/>
      <c r="F79" s="89"/>
    </row>
    <row r="80" spans="1:6" ht="56.25" customHeight="1" x14ac:dyDescent="0.2">
      <c r="A80" s="104" t="s">
        <v>758</v>
      </c>
      <c r="B80" s="86" t="s">
        <v>759</v>
      </c>
      <c r="C80" s="87" t="s">
        <v>67</v>
      </c>
      <c r="D80" s="88" t="s">
        <v>764</v>
      </c>
      <c r="E80" s="89"/>
      <c r="F80" s="89"/>
    </row>
    <row r="81" spans="1:6" ht="56.25" customHeight="1" x14ac:dyDescent="0.2">
      <c r="A81" s="104" t="s">
        <v>765</v>
      </c>
      <c r="B81" s="86" t="s">
        <v>766</v>
      </c>
      <c r="C81" s="87" t="s">
        <v>67</v>
      </c>
      <c r="D81" s="88" t="s">
        <v>118</v>
      </c>
      <c r="E81" s="89"/>
      <c r="F81" s="89"/>
    </row>
    <row r="82" spans="1:6" ht="56.25" customHeight="1" x14ac:dyDescent="0.2">
      <c r="A82" s="93" t="s">
        <v>772</v>
      </c>
      <c r="B82" s="86" t="s">
        <v>104</v>
      </c>
      <c r="C82" s="87" t="s">
        <v>67</v>
      </c>
      <c r="D82" s="88" t="s">
        <v>104</v>
      </c>
      <c r="E82" s="89"/>
      <c r="F82" s="89"/>
    </row>
    <row r="83" spans="1:6" ht="56.25" customHeight="1" x14ac:dyDescent="0.2">
      <c r="A83" s="93" t="s">
        <v>772</v>
      </c>
      <c r="B83" s="86" t="s">
        <v>778</v>
      </c>
      <c r="C83" s="87" t="s">
        <v>690</v>
      </c>
      <c r="D83" s="88" t="s">
        <v>391</v>
      </c>
      <c r="E83" s="89"/>
      <c r="F83" s="89"/>
    </row>
    <row r="84" spans="1:6" ht="15.75" customHeight="1" x14ac:dyDescent="0.2">
      <c r="A84" s="93" t="s">
        <v>788</v>
      </c>
      <c r="B84" s="86" t="s">
        <v>375</v>
      </c>
      <c r="C84" s="87" t="s">
        <v>67</v>
      </c>
      <c r="D84" s="88" t="s">
        <v>793</v>
      </c>
      <c r="E84" s="89"/>
      <c r="F84" s="89"/>
    </row>
    <row r="85" spans="1:6" ht="56.25" customHeight="1" x14ac:dyDescent="0.2">
      <c r="A85" s="93" t="s">
        <v>797</v>
      </c>
      <c r="B85" s="86" t="s">
        <v>764</v>
      </c>
      <c r="C85" s="87" t="s">
        <v>67</v>
      </c>
      <c r="D85" s="88" t="s">
        <v>100</v>
      </c>
      <c r="E85" s="89"/>
      <c r="F85" s="89"/>
    </row>
    <row r="86" spans="1:6" ht="56.25" customHeight="1" x14ac:dyDescent="0.2">
      <c r="A86" s="93" t="s">
        <v>806</v>
      </c>
      <c r="B86" s="86" t="s">
        <v>807</v>
      </c>
      <c r="C86" s="87" t="s">
        <v>67</v>
      </c>
      <c r="D86" s="88" t="s">
        <v>722</v>
      </c>
      <c r="E86" s="89"/>
      <c r="F86" s="89"/>
    </row>
    <row r="87" spans="1:6" ht="56.25" customHeight="1" x14ac:dyDescent="0.2">
      <c r="A87" s="93" t="s">
        <v>817</v>
      </c>
      <c r="B87" s="86" t="s">
        <v>819</v>
      </c>
      <c r="C87" s="87" t="s">
        <v>67</v>
      </c>
      <c r="D87" s="88" t="s">
        <v>129</v>
      </c>
      <c r="E87" s="89"/>
      <c r="F87" s="89"/>
    </row>
    <row r="88" spans="1:6" ht="56.25" customHeight="1" x14ac:dyDescent="0.2">
      <c r="A88" s="93" t="s">
        <v>823</v>
      </c>
      <c r="B88" s="86" t="s">
        <v>366</v>
      </c>
      <c r="C88" s="87" t="s">
        <v>690</v>
      </c>
      <c r="D88" s="88" t="s">
        <v>68</v>
      </c>
      <c r="E88" s="89"/>
      <c r="F88" s="89"/>
    </row>
    <row r="89" spans="1:6" ht="56.25" customHeight="1" x14ac:dyDescent="0.2">
      <c r="A89" s="93" t="s">
        <v>831</v>
      </c>
      <c r="B89" s="86" t="s">
        <v>561</v>
      </c>
      <c r="C89" s="87" t="s">
        <v>690</v>
      </c>
      <c r="D89" s="88" t="s">
        <v>107</v>
      </c>
      <c r="E89" s="89"/>
      <c r="F89" s="89"/>
    </row>
    <row r="90" spans="1:6" ht="56.25" customHeight="1" x14ac:dyDescent="0.2">
      <c r="A90" s="93" t="s">
        <v>839</v>
      </c>
      <c r="B90" s="86" t="s">
        <v>579</v>
      </c>
      <c r="C90" s="87" t="s">
        <v>690</v>
      </c>
      <c r="D90" s="88" t="s">
        <v>204</v>
      </c>
      <c r="E90" s="89"/>
      <c r="F90" s="89"/>
    </row>
    <row r="91" spans="1:6" ht="56.25" customHeight="1" x14ac:dyDescent="0.2">
      <c r="A91" s="93" t="s">
        <v>846</v>
      </c>
      <c r="B91" s="86" t="s">
        <v>586</v>
      </c>
      <c r="C91" s="87" t="s">
        <v>690</v>
      </c>
      <c r="D91" s="88" t="s">
        <v>793</v>
      </c>
      <c r="E91" s="89"/>
      <c r="F91" s="89"/>
    </row>
    <row r="92" spans="1:6" ht="56.25" customHeight="1" x14ac:dyDescent="0.2">
      <c r="A92" s="93" t="s">
        <v>854</v>
      </c>
      <c r="B92" s="86" t="s">
        <v>855</v>
      </c>
      <c r="C92" s="87" t="s">
        <v>690</v>
      </c>
      <c r="D92" s="88" t="s">
        <v>59</v>
      </c>
      <c r="E92" s="89"/>
      <c r="F92" s="89"/>
    </row>
    <row r="93" spans="1:6" ht="56.25" customHeight="1" x14ac:dyDescent="0.2">
      <c r="A93" s="93" t="s">
        <v>863</v>
      </c>
      <c r="B93" s="86" t="s">
        <v>864</v>
      </c>
      <c r="C93" s="87" t="s">
        <v>690</v>
      </c>
      <c r="D93" s="88" t="s">
        <v>124</v>
      </c>
      <c r="E93" s="89"/>
      <c r="F93" s="89"/>
    </row>
    <row r="94" spans="1:6" ht="56.25" customHeight="1" x14ac:dyDescent="0.2">
      <c r="A94" s="93" t="s">
        <v>872</v>
      </c>
      <c r="B94" s="86" t="s">
        <v>873</v>
      </c>
      <c r="C94" s="87" t="s">
        <v>690</v>
      </c>
      <c r="D94" s="88" t="s">
        <v>366</v>
      </c>
      <c r="E94" s="89"/>
      <c r="F94" s="89"/>
    </row>
    <row r="95" spans="1:6" ht="56.25" customHeight="1" x14ac:dyDescent="0.2">
      <c r="A95" s="105" t="s">
        <v>881</v>
      </c>
      <c r="B95" s="86" t="s">
        <v>882</v>
      </c>
      <c r="C95" s="87" t="s">
        <v>690</v>
      </c>
      <c r="D95" s="88" t="s">
        <v>561</v>
      </c>
      <c r="E95" s="89"/>
      <c r="F95" s="89"/>
    </row>
    <row r="96" spans="1:6" ht="56.25" customHeight="1" x14ac:dyDescent="0.2">
      <c r="A96" s="93" t="s">
        <v>889</v>
      </c>
      <c r="B96" s="86" t="s">
        <v>890</v>
      </c>
      <c r="C96" s="87" t="s">
        <v>690</v>
      </c>
      <c r="D96" s="88" t="s">
        <v>579</v>
      </c>
      <c r="E96" s="89"/>
      <c r="F96" s="89"/>
    </row>
    <row r="97" spans="1:6" ht="56.25" customHeight="1" x14ac:dyDescent="0.2">
      <c r="A97" s="106" t="s">
        <v>895</v>
      </c>
      <c r="B97" s="86" t="s">
        <v>896</v>
      </c>
      <c r="C97" s="87" t="s">
        <v>690</v>
      </c>
      <c r="D97" s="88" t="s">
        <v>586</v>
      </c>
      <c r="E97" s="89"/>
      <c r="F97" s="89"/>
    </row>
    <row r="98" spans="1:6" ht="68.25" customHeight="1" x14ac:dyDescent="0.2">
      <c r="A98" s="93" t="s">
        <v>899</v>
      </c>
      <c r="B98" s="86" t="s">
        <v>900</v>
      </c>
      <c r="C98" s="87" t="s">
        <v>690</v>
      </c>
      <c r="D98" s="88" t="s">
        <v>907</v>
      </c>
      <c r="E98" s="89"/>
      <c r="F98" s="89"/>
    </row>
    <row r="99" spans="1:6" ht="56.25" customHeight="1" x14ac:dyDescent="0.2">
      <c r="A99" s="93" t="s">
        <v>908</v>
      </c>
      <c r="B99" s="86" t="s">
        <v>68</v>
      </c>
      <c r="C99" s="87" t="s">
        <v>247</v>
      </c>
      <c r="D99" s="88" t="s">
        <v>68</v>
      </c>
      <c r="E99" s="89"/>
      <c r="F99" s="89"/>
    </row>
    <row r="100" spans="1:6" ht="56.25" customHeight="1" x14ac:dyDescent="0.2">
      <c r="A100" s="93" t="s">
        <v>916</v>
      </c>
      <c r="B100" s="86" t="s">
        <v>107</v>
      </c>
      <c r="C100" s="87" t="s">
        <v>247</v>
      </c>
      <c r="D100" s="88" t="s">
        <v>107</v>
      </c>
      <c r="E100" s="89"/>
      <c r="F100" s="89"/>
    </row>
    <row r="101" spans="1:6" ht="56.25" customHeight="1" x14ac:dyDescent="0.2">
      <c r="A101" s="93" t="s">
        <v>924</v>
      </c>
      <c r="B101" s="107" t="s">
        <v>204</v>
      </c>
      <c r="C101" s="87" t="s">
        <v>247</v>
      </c>
      <c r="D101" s="88" t="s">
        <v>204</v>
      </c>
      <c r="E101" s="89"/>
      <c r="F101" s="89"/>
    </row>
    <row r="102" spans="1:6" ht="56.25" customHeight="1" x14ac:dyDescent="0.2">
      <c r="A102" s="93" t="s">
        <v>929</v>
      </c>
      <c r="B102" s="86" t="s">
        <v>391</v>
      </c>
      <c r="C102" s="87" t="s">
        <v>247</v>
      </c>
      <c r="D102" s="88" t="s">
        <v>100</v>
      </c>
      <c r="E102" s="89"/>
      <c r="F102" s="89"/>
    </row>
    <row r="103" spans="1:6" ht="56.25" customHeight="1" x14ac:dyDescent="0.2">
      <c r="A103" s="93" t="s">
        <v>936</v>
      </c>
      <c r="B103" s="86" t="s">
        <v>907</v>
      </c>
      <c r="C103" s="87" t="s">
        <v>247</v>
      </c>
      <c r="D103" s="88" t="s">
        <v>366</v>
      </c>
      <c r="E103" s="89"/>
      <c r="F103" s="89"/>
    </row>
    <row r="104" spans="1:6" ht="56.25" customHeight="1" x14ac:dyDescent="0.2">
      <c r="A104" s="93" t="s">
        <v>944</v>
      </c>
      <c r="B104" s="86" t="s">
        <v>349</v>
      </c>
      <c r="C104" s="87" t="s">
        <v>247</v>
      </c>
      <c r="D104" s="88" t="s">
        <v>375</v>
      </c>
      <c r="E104" s="89"/>
      <c r="F104" s="89"/>
    </row>
    <row r="105" spans="1:6" ht="56.25" customHeight="1" x14ac:dyDescent="0.2">
      <c r="A105" s="93" t="s">
        <v>952</v>
      </c>
      <c r="B105" s="86" t="s">
        <v>722</v>
      </c>
      <c r="C105" s="87" t="s">
        <v>247</v>
      </c>
      <c r="D105" s="88" t="s">
        <v>384</v>
      </c>
      <c r="E105" s="89"/>
      <c r="F105" s="89"/>
    </row>
    <row r="106" spans="1:6" ht="56.25" customHeight="1" x14ac:dyDescent="0.2">
      <c r="A106" s="93" t="s">
        <v>960</v>
      </c>
      <c r="B106" s="86" t="s">
        <v>722</v>
      </c>
      <c r="C106" s="87" t="s">
        <v>247</v>
      </c>
      <c r="D106" s="88" t="s">
        <v>384</v>
      </c>
      <c r="E106" s="89"/>
      <c r="F106" s="89"/>
    </row>
    <row r="107" spans="1:6" ht="56.25" customHeight="1" x14ac:dyDescent="0.2">
      <c r="A107" s="93" t="s">
        <v>1078</v>
      </c>
      <c r="B107" s="86" t="s">
        <v>962</v>
      </c>
      <c r="C107" s="87" t="s">
        <v>247</v>
      </c>
      <c r="D107" s="88" t="s">
        <v>391</v>
      </c>
      <c r="E107" s="89"/>
      <c r="F107" s="89"/>
    </row>
    <row r="108" spans="1:6" ht="56.25" customHeight="1" x14ac:dyDescent="0.2">
      <c r="A108" s="93" t="s">
        <v>970</v>
      </c>
      <c r="B108" s="86" t="s">
        <v>971</v>
      </c>
      <c r="C108" s="87" t="s">
        <v>247</v>
      </c>
      <c r="D108" s="88" t="s">
        <v>480</v>
      </c>
      <c r="E108" s="89"/>
      <c r="F108" s="89"/>
    </row>
    <row r="109" spans="1:6" ht="56.25" customHeight="1" x14ac:dyDescent="0.2">
      <c r="A109" s="93" t="s">
        <v>978</v>
      </c>
      <c r="B109" s="86" t="s">
        <v>979</v>
      </c>
      <c r="C109" s="87" t="s">
        <v>247</v>
      </c>
      <c r="D109" s="88" t="s">
        <v>579</v>
      </c>
      <c r="E109" s="89"/>
      <c r="F109" s="89"/>
    </row>
    <row r="110" spans="1:6" ht="56.25" customHeight="1" x14ac:dyDescent="0.2">
      <c r="A110" s="93" t="s">
        <v>987</v>
      </c>
      <c r="B110" s="86" t="s">
        <v>988</v>
      </c>
      <c r="C110" s="87" t="s">
        <v>247</v>
      </c>
      <c r="D110" s="88" t="s">
        <v>586</v>
      </c>
      <c r="E110" s="89"/>
      <c r="F110" s="89"/>
    </row>
    <row r="111" spans="1:6" ht="56.25" customHeight="1" x14ac:dyDescent="0.2">
      <c r="A111" s="93" t="s">
        <v>996</v>
      </c>
      <c r="B111" s="86" t="s">
        <v>997</v>
      </c>
      <c r="C111" s="87" t="s">
        <v>247</v>
      </c>
      <c r="D111" s="88" t="s">
        <v>907</v>
      </c>
      <c r="E111" s="89"/>
      <c r="F111" s="89"/>
    </row>
    <row r="112" spans="1:6" ht="56.25" customHeight="1" x14ac:dyDescent="0.2">
      <c r="A112" s="93" t="s">
        <v>1001</v>
      </c>
      <c r="B112" s="86" t="s">
        <v>1002</v>
      </c>
      <c r="C112" s="87" t="s">
        <v>247</v>
      </c>
      <c r="D112" s="88" t="s">
        <v>349</v>
      </c>
      <c r="E112" s="89"/>
      <c r="F112" s="89"/>
    </row>
    <row r="113" spans="1:11" ht="56.25" customHeight="1" x14ac:dyDescent="0.2">
      <c r="A113" s="93" t="s">
        <v>1008</v>
      </c>
      <c r="B113" s="86" t="s">
        <v>1009</v>
      </c>
      <c r="C113" s="87" t="s">
        <v>247</v>
      </c>
      <c r="D113" s="88" t="s">
        <v>764</v>
      </c>
      <c r="E113" s="89"/>
      <c r="F113" s="89"/>
    </row>
    <row r="114" spans="1:11" ht="56.25" customHeight="1" x14ac:dyDescent="0.2">
      <c r="A114" s="93" t="s">
        <v>1017</v>
      </c>
      <c r="B114" s="86" t="s">
        <v>469</v>
      </c>
      <c r="C114" s="87" t="s">
        <v>247</v>
      </c>
      <c r="D114" s="88" t="s">
        <v>118</v>
      </c>
      <c r="E114" s="89"/>
      <c r="F114" s="89"/>
    </row>
    <row r="115" spans="1:11" ht="56.25" customHeight="1" x14ac:dyDescent="0.2">
      <c r="A115" s="93" t="s">
        <v>1023</v>
      </c>
      <c r="B115" s="86" t="s">
        <v>1024</v>
      </c>
      <c r="C115" s="87" t="s">
        <v>247</v>
      </c>
      <c r="D115" s="88" t="s">
        <v>962</v>
      </c>
      <c r="E115" s="89"/>
      <c r="F115" s="89"/>
    </row>
    <row r="116" spans="1:11" ht="56.25" customHeight="1" x14ac:dyDescent="0.2">
      <c r="A116" s="93" t="s">
        <v>1030</v>
      </c>
      <c r="B116" s="86" t="s">
        <v>1031</v>
      </c>
      <c r="C116" s="87" t="s">
        <v>247</v>
      </c>
      <c r="D116" s="88" t="s">
        <v>129</v>
      </c>
      <c r="E116" s="89"/>
      <c r="F116" s="89"/>
    </row>
    <row r="117" spans="1:11" ht="56.25" customHeight="1" x14ac:dyDescent="0.2">
      <c r="A117" s="93" t="s">
        <v>1038</v>
      </c>
      <c r="B117" s="86" t="s">
        <v>1039</v>
      </c>
      <c r="C117" s="87" t="s">
        <v>247</v>
      </c>
      <c r="D117" s="88" t="s">
        <v>165</v>
      </c>
      <c r="E117" s="89"/>
      <c r="F117" s="89"/>
      <c r="K117" s="108"/>
    </row>
    <row r="118" spans="1:11" ht="56.25" customHeight="1" x14ac:dyDescent="0.2">
      <c r="A118" s="93" t="s">
        <v>1046</v>
      </c>
      <c r="B118" s="86" t="s">
        <v>716</v>
      </c>
      <c r="C118" s="87" t="s">
        <v>247</v>
      </c>
      <c r="D118" s="88" t="s">
        <v>251</v>
      </c>
      <c r="E118" s="89"/>
      <c r="F118" s="89"/>
    </row>
    <row r="119" spans="1:11" ht="69" customHeight="1" x14ac:dyDescent="0.2">
      <c r="A119" s="93" t="s">
        <v>1053</v>
      </c>
      <c r="B119" s="86" t="s">
        <v>1054</v>
      </c>
      <c r="C119" s="87" t="s">
        <v>247</v>
      </c>
      <c r="D119" s="88" t="s">
        <v>262</v>
      </c>
      <c r="E119" s="89"/>
      <c r="F119" s="89"/>
    </row>
    <row r="120" spans="1:11" ht="56.25" customHeight="1" x14ac:dyDescent="0.2">
      <c r="A120" s="93" t="s">
        <v>859</v>
      </c>
      <c r="B120" s="86" t="s">
        <v>860</v>
      </c>
      <c r="C120" s="87" t="s">
        <v>247</v>
      </c>
      <c r="D120" s="88"/>
      <c r="E120" s="89"/>
      <c r="F120" s="89"/>
    </row>
    <row r="121" spans="1:11" ht="56.25" customHeight="1" x14ac:dyDescent="0.2">
      <c r="A121" s="93" t="s">
        <v>1063</v>
      </c>
      <c r="B121" s="86" t="s">
        <v>726</v>
      </c>
      <c r="C121" s="87" t="s">
        <v>247</v>
      </c>
      <c r="D121" s="88" t="s">
        <v>273</v>
      </c>
      <c r="E121" s="89"/>
      <c r="F121" s="89"/>
    </row>
    <row r="122" spans="1:11" ht="56.25" customHeight="1" x14ac:dyDescent="0.2">
      <c r="A122" s="109"/>
      <c r="B122" s="110"/>
      <c r="C122" s="111"/>
      <c r="D122" s="110"/>
    </row>
    <row r="123" spans="1:11" ht="56.25" customHeight="1" x14ac:dyDescent="0.2">
      <c r="A123" s="93" t="s">
        <v>1071</v>
      </c>
      <c r="B123" s="86"/>
      <c r="C123" s="87"/>
      <c r="D123" s="86"/>
    </row>
    <row r="124" spans="1:11" ht="56.25" customHeight="1" x14ac:dyDescent="0.2">
      <c r="A124" s="93" t="s">
        <v>1072</v>
      </c>
      <c r="B124" s="112"/>
      <c r="C124" s="87"/>
      <c r="D124" s="86"/>
    </row>
    <row r="125" spans="1:11" ht="12.75" customHeight="1" x14ac:dyDescent="0.2">
      <c r="A125" s="113" t="s">
        <v>1073</v>
      </c>
      <c r="B125" s="114"/>
      <c r="C125" s="115"/>
      <c r="D125" s="116"/>
    </row>
    <row r="126" spans="1:11" ht="12.75" customHeight="1" x14ac:dyDescent="0.2">
      <c r="A126" s="113" t="s">
        <v>1074</v>
      </c>
      <c r="B126" s="114"/>
      <c r="C126" s="115"/>
      <c r="D126" s="116"/>
    </row>
    <row r="127" spans="1:11" ht="12.75" customHeight="1" x14ac:dyDescent="0.2">
      <c r="A127" s="113"/>
      <c r="B127" s="114"/>
      <c r="C127" s="115"/>
      <c r="D127" s="116"/>
    </row>
    <row r="128" spans="1:11" ht="12.75" customHeight="1" x14ac:dyDescent="0.2">
      <c r="A128" s="113"/>
      <c r="B128" s="114"/>
      <c r="C128" s="115"/>
      <c r="D128" s="116"/>
    </row>
    <row r="129" spans="1:4" ht="12.75" customHeight="1" x14ac:dyDescent="0.2">
      <c r="A129" s="113"/>
      <c r="B129" s="114"/>
      <c r="C129" s="115"/>
      <c r="D129" s="116"/>
    </row>
    <row r="130" spans="1:4" ht="12.75" customHeight="1" x14ac:dyDescent="0.2">
      <c r="A130" s="113"/>
      <c r="B130" s="114"/>
      <c r="C130" s="115"/>
      <c r="D130" s="116"/>
    </row>
    <row r="131" spans="1:4" ht="12.75" customHeight="1" x14ac:dyDescent="0.2">
      <c r="A131" s="113"/>
      <c r="B131" s="114"/>
      <c r="C131" s="115"/>
      <c r="D131" s="116"/>
    </row>
    <row r="132" spans="1:4" ht="12.75" customHeight="1" x14ac:dyDescent="0.2">
      <c r="A132" s="113"/>
      <c r="B132" s="114"/>
      <c r="C132" s="115"/>
      <c r="D132" s="116"/>
    </row>
    <row r="133" spans="1:4" ht="12.75" customHeight="1" x14ac:dyDescent="0.2">
      <c r="A133" s="113"/>
      <c r="B133" s="114"/>
      <c r="C133" s="115"/>
      <c r="D133" s="116"/>
    </row>
    <row r="134" spans="1:4" ht="12.75" customHeight="1" x14ac:dyDescent="0.2">
      <c r="A134" s="113"/>
      <c r="B134" s="114"/>
      <c r="C134" s="115"/>
      <c r="D134" s="116"/>
    </row>
    <row r="135" spans="1:4" ht="12.75" customHeight="1" x14ac:dyDescent="0.2">
      <c r="A135" s="113"/>
      <c r="B135" s="114"/>
      <c r="C135" s="115"/>
      <c r="D135" s="116"/>
    </row>
    <row r="136" spans="1:4" ht="12.75" customHeight="1" x14ac:dyDescent="0.2">
      <c r="A136" s="113"/>
      <c r="B136" s="114"/>
      <c r="C136" s="115"/>
      <c r="D136" s="116"/>
    </row>
    <row r="137" spans="1:4" ht="12.75" customHeight="1" x14ac:dyDescent="0.2">
      <c r="A137" s="113"/>
      <c r="B137" s="114"/>
      <c r="C137" s="115"/>
      <c r="D137" s="116"/>
    </row>
    <row r="138" spans="1:4" ht="12.75" customHeight="1" x14ac:dyDescent="0.2">
      <c r="A138" s="113"/>
      <c r="B138" s="114"/>
      <c r="C138" s="115"/>
      <c r="D138" s="116"/>
    </row>
    <row r="139" spans="1:4" ht="12.75" customHeight="1" x14ac:dyDescent="0.2">
      <c r="A139" s="113"/>
      <c r="B139" s="114"/>
      <c r="C139" s="115"/>
      <c r="D139" s="116"/>
    </row>
    <row r="140" spans="1:4" ht="12.75" customHeight="1" x14ac:dyDescent="0.2">
      <c r="A140" s="113"/>
      <c r="B140" s="114"/>
      <c r="C140" s="115"/>
      <c r="D140" s="116"/>
    </row>
    <row r="141" spans="1:4" ht="12.75" customHeight="1" x14ac:dyDescent="0.2">
      <c r="A141" s="113"/>
      <c r="B141" s="114"/>
      <c r="C141" s="115"/>
      <c r="D141" s="116"/>
    </row>
    <row r="142" spans="1:4" ht="12.75" customHeight="1" x14ac:dyDescent="0.2">
      <c r="A142" s="113"/>
      <c r="B142" s="114"/>
      <c r="C142" s="115"/>
      <c r="D142" s="116"/>
    </row>
    <row r="143" spans="1:4" ht="12.75" customHeight="1" x14ac:dyDescent="0.2">
      <c r="A143" s="113"/>
      <c r="B143" s="114"/>
      <c r="C143" s="115"/>
      <c r="D143" s="116"/>
    </row>
    <row r="144" spans="1:4" ht="12.75" customHeight="1" x14ac:dyDescent="0.2">
      <c r="A144" s="113"/>
      <c r="B144" s="114"/>
      <c r="C144" s="115"/>
      <c r="D144" s="116"/>
    </row>
    <row r="145" spans="1:4" ht="12.75" customHeight="1" x14ac:dyDescent="0.2">
      <c r="A145" s="113"/>
      <c r="B145" s="114"/>
      <c r="C145" s="115"/>
      <c r="D145" s="116"/>
    </row>
    <row r="146" spans="1:4" ht="12.75" customHeight="1" x14ac:dyDescent="0.2">
      <c r="A146" s="113"/>
      <c r="B146" s="114"/>
      <c r="C146" s="115"/>
      <c r="D146" s="116"/>
    </row>
    <row r="147" spans="1:4" ht="12.75" customHeight="1" x14ac:dyDescent="0.2">
      <c r="A147" s="113"/>
      <c r="B147" s="114"/>
      <c r="C147" s="115"/>
      <c r="D147" s="116"/>
    </row>
    <row r="148" spans="1:4" ht="12.75" customHeight="1" x14ac:dyDescent="0.2">
      <c r="A148" s="113"/>
      <c r="B148" s="114"/>
      <c r="C148" s="115"/>
      <c r="D148" s="116"/>
    </row>
    <row r="149" spans="1:4" ht="12.75" customHeight="1" x14ac:dyDescent="0.2">
      <c r="A149" s="113"/>
      <c r="B149" s="114"/>
      <c r="C149" s="115"/>
      <c r="D149" s="116"/>
    </row>
    <row r="150" spans="1:4" ht="12.75" customHeight="1" x14ac:dyDescent="0.2">
      <c r="A150" s="113"/>
      <c r="B150" s="114"/>
      <c r="C150" s="115"/>
      <c r="D150" s="116"/>
    </row>
    <row r="151" spans="1:4" ht="12.75" customHeight="1" x14ac:dyDescent="0.2">
      <c r="A151" s="113"/>
      <c r="B151" s="114"/>
      <c r="C151" s="115"/>
      <c r="D151" s="116"/>
    </row>
    <row r="152" spans="1:4" ht="12.75" customHeight="1" x14ac:dyDescent="0.2">
      <c r="A152" s="113"/>
      <c r="B152" s="114"/>
      <c r="C152" s="115"/>
      <c r="D152" s="116"/>
    </row>
    <row r="153" spans="1:4" ht="12.75" customHeight="1" x14ac:dyDescent="0.2">
      <c r="A153" s="113"/>
      <c r="B153" s="114"/>
      <c r="C153" s="115"/>
      <c r="D153" s="116"/>
    </row>
    <row r="154" spans="1:4" ht="12.75" customHeight="1" x14ac:dyDescent="0.2">
      <c r="A154" s="113"/>
      <c r="B154" s="114"/>
      <c r="C154" s="115"/>
      <c r="D154" s="116"/>
    </row>
    <row r="155" spans="1:4" ht="12.75" customHeight="1" x14ac:dyDescent="0.2">
      <c r="A155" s="113"/>
      <c r="B155" s="114"/>
      <c r="C155" s="115"/>
      <c r="D155" s="116"/>
    </row>
    <row r="156" spans="1:4" ht="12.75" customHeight="1" x14ac:dyDescent="0.2">
      <c r="A156" s="113"/>
      <c r="B156" s="114"/>
      <c r="C156" s="115"/>
      <c r="D156" s="116"/>
    </row>
    <row r="157" spans="1:4" ht="12.75" customHeight="1" x14ac:dyDescent="0.2">
      <c r="A157" s="113"/>
      <c r="B157" s="114"/>
      <c r="C157" s="115"/>
      <c r="D157" s="116"/>
    </row>
    <row r="158" spans="1:4" ht="12.75" customHeight="1" x14ac:dyDescent="0.2">
      <c r="A158" s="113"/>
      <c r="B158" s="114"/>
      <c r="C158" s="115"/>
      <c r="D158" s="116"/>
    </row>
    <row r="159" spans="1:4" ht="12.75" customHeight="1" x14ac:dyDescent="0.2">
      <c r="A159" s="113"/>
      <c r="B159" s="114"/>
      <c r="C159" s="115"/>
      <c r="D159" s="116"/>
    </row>
    <row r="160" spans="1:4" ht="12.75" customHeight="1" x14ac:dyDescent="0.2">
      <c r="A160" s="113"/>
      <c r="B160" s="114"/>
      <c r="C160" s="115"/>
      <c r="D160" s="116"/>
    </row>
    <row r="161" spans="1:4" ht="12.75" customHeight="1" x14ac:dyDescent="0.2">
      <c r="A161" s="113"/>
      <c r="B161" s="114"/>
      <c r="C161" s="115"/>
      <c r="D161" s="116"/>
    </row>
    <row r="162" spans="1:4" ht="12.75" customHeight="1" x14ac:dyDescent="0.2">
      <c r="A162" s="113"/>
      <c r="B162" s="114"/>
      <c r="C162" s="115"/>
      <c r="D162" s="116"/>
    </row>
    <row r="163" spans="1:4" ht="12.75" customHeight="1" x14ac:dyDescent="0.2">
      <c r="A163" s="113"/>
      <c r="B163" s="114"/>
      <c r="C163" s="115"/>
      <c r="D163" s="116"/>
    </row>
    <row r="164" spans="1:4" ht="12.75" customHeight="1" x14ac:dyDescent="0.2">
      <c r="A164" s="113"/>
      <c r="B164" s="114"/>
      <c r="C164" s="115"/>
      <c r="D164" s="116"/>
    </row>
    <row r="165" spans="1:4" ht="12.75" customHeight="1" x14ac:dyDescent="0.2">
      <c r="A165" s="113"/>
      <c r="B165" s="114"/>
      <c r="C165" s="115"/>
      <c r="D165" s="116"/>
    </row>
    <row r="166" spans="1:4" ht="12.75" customHeight="1" x14ac:dyDescent="0.2">
      <c r="A166" s="113"/>
      <c r="B166" s="114"/>
      <c r="C166" s="115"/>
      <c r="D166" s="116"/>
    </row>
    <row r="167" spans="1:4" ht="12.75" customHeight="1" x14ac:dyDescent="0.2">
      <c r="A167" s="113"/>
      <c r="B167" s="114"/>
      <c r="C167" s="115"/>
      <c r="D167" s="116"/>
    </row>
    <row r="168" spans="1:4" ht="12.75" customHeight="1" x14ac:dyDescent="0.2">
      <c r="A168" s="113"/>
      <c r="B168" s="114"/>
      <c r="C168" s="115"/>
      <c r="D168" s="116"/>
    </row>
    <row r="169" spans="1:4" ht="12.75" customHeight="1" x14ac:dyDescent="0.2">
      <c r="A169" s="113"/>
      <c r="B169" s="114"/>
      <c r="C169" s="115"/>
      <c r="D169" s="116"/>
    </row>
    <row r="170" spans="1:4" ht="12.75" customHeight="1" x14ac:dyDescent="0.2">
      <c r="A170" s="113"/>
      <c r="B170" s="114"/>
      <c r="C170" s="115"/>
      <c r="D170" s="116"/>
    </row>
    <row r="171" spans="1:4" ht="12.75" customHeight="1" x14ac:dyDescent="0.2">
      <c r="A171" s="113"/>
      <c r="B171" s="114"/>
      <c r="C171" s="115"/>
      <c r="D171" s="116"/>
    </row>
    <row r="172" spans="1:4" ht="12.75" customHeight="1" x14ac:dyDescent="0.2">
      <c r="A172" s="113"/>
      <c r="B172" s="114"/>
      <c r="C172" s="115"/>
      <c r="D172" s="116"/>
    </row>
    <row r="173" spans="1:4" ht="12.75" customHeight="1" x14ac:dyDescent="0.2">
      <c r="A173" s="113"/>
      <c r="B173" s="114"/>
      <c r="C173" s="115"/>
      <c r="D173" s="116"/>
    </row>
    <row r="174" spans="1:4" ht="12.75" customHeight="1" x14ac:dyDescent="0.2">
      <c r="A174" s="113"/>
      <c r="B174" s="114"/>
      <c r="C174" s="115"/>
      <c r="D174" s="116"/>
    </row>
    <row r="175" spans="1:4" ht="12.75" customHeight="1" x14ac:dyDescent="0.2">
      <c r="A175" s="113"/>
      <c r="B175" s="114"/>
      <c r="C175" s="115"/>
      <c r="D175" s="116"/>
    </row>
    <row r="176" spans="1:4" ht="12.75" customHeight="1" x14ac:dyDescent="0.2">
      <c r="A176" s="113"/>
      <c r="B176" s="114"/>
      <c r="C176" s="115"/>
      <c r="D176" s="116"/>
    </row>
    <row r="177" spans="1:4" ht="12.75" customHeight="1" x14ac:dyDescent="0.2">
      <c r="A177" s="113"/>
      <c r="B177" s="114"/>
      <c r="C177" s="115"/>
      <c r="D177" s="116"/>
    </row>
    <row r="178" spans="1:4" ht="12.75" customHeight="1" x14ac:dyDescent="0.2">
      <c r="A178" s="113"/>
      <c r="B178" s="114"/>
      <c r="C178" s="115"/>
      <c r="D178" s="116"/>
    </row>
    <row r="179" spans="1:4" ht="12.75" customHeight="1" x14ac:dyDescent="0.2">
      <c r="A179" s="113"/>
      <c r="B179" s="114"/>
      <c r="C179" s="115"/>
      <c r="D179" s="116"/>
    </row>
    <row r="180" spans="1:4" ht="12.75" customHeight="1" x14ac:dyDescent="0.2">
      <c r="A180" s="113"/>
      <c r="B180" s="114"/>
      <c r="C180" s="115"/>
      <c r="D180" s="116"/>
    </row>
    <row r="181" spans="1:4" ht="12.75" customHeight="1" x14ac:dyDescent="0.2">
      <c r="A181" s="113"/>
      <c r="B181" s="114"/>
      <c r="C181" s="115"/>
      <c r="D181" s="116"/>
    </row>
    <row r="182" spans="1:4" ht="12.75" customHeight="1" x14ac:dyDescent="0.2">
      <c r="A182" s="113"/>
      <c r="B182" s="114"/>
      <c r="C182" s="115"/>
      <c r="D182" s="116"/>
    </row>
    <row r="183" spans="1:4" ht="12.75" customHeight="1" x14ac:dyDescent="0.2">
      <c r="A183" s="113"/>
      <c r="B183" s="114"/>
      <c r="C183" s="115"/>
      <c r="D183" s="116"/>
    </row>
    <row r="184" spans="1:4" ht="12.75" customHeight="1" x14ac:dyDescent="0.2">
      <c r="A184" s="113"/>
      <c r="B184" s="114"/>
      <c r="C184" s="115"/>
      <c r="D184" s="116"/>
    </row>
    <row r="185" spans="1:4" ht="12.75" customHeight="1" x14ac:dyDescent="0.2">
      <c r="A185" s="113"/>
      <c r="B185" s="114"/>
      <c r="C185" s="115"/>
      <c r="D185" s="116"/>
    </row>
    <row r="186" spans="1:4" ht="12.75" customHeight="1" x14ac:dyDescent="0.2">
      <c r="A186" s="113"/>
      <c r="B186" s="114"/>
      <c r="C186" s="115"/>
      <c r="D186" s="116"/>
    </row>
    <row r="187" spans="1:4" ht="12.75" customHeight="1" x14ac:dyDescent="0.2">
      <c r="A187" s="113"/>
      <c r="B187" s="114"/>
      <c r="C187" s="115"/>
      <c r="D187" s="116"/>
    </row>
    <row r="188" spans="1:4" ht="12.75" customHeight="1" x14ac:dyDescent="0.2">
      <c r="A188" s="113"/>
      <c r="B188" s="114"/>
      <c r="C188" s="115"/>
      <c r="D188" s="116"/>
    </row>
    <row r="189" spans="1:4" ht="12.75" customHeight="1" x14ac:dyDescent="0.2">
      <c r="A189" s="113"/>
      <c r="B189" s="114"/>
      <c r="C189" s="115"/>
      <c r="D189" s="116"/>
    </row>
    <row r="190" spans="1:4" ht="12.75" customHeight="1" x14ac:dyDescent="0.2">
      <c r="A190" s="113"/>
      <c r="B190" s="114"/>
      <c r="C190" s="115"/>
      <c r="D190" s="116"/>
    </row>
    <row r="191" spans="1:4" ht="12.75" customHeight="1" x14ac:dyDescent="0.2">
      <c r="A191" s="113"/>
      <c r="B191" s="114"/>
      <c r="C191" s="115"/>
      <c r="D191" s="116"/>
    </row>
    <row r="192" spans="1:4" ht="12.75" customHeight="1" x14ac:dyDescent="0.2">
      <c r="A192" s="113"/>
      <c r="B192" s="114"/>
      <c r="C192" s="115"/>
      <c r="D192" s="116"/>
    </row>
    <row r="193" spans="1:4" ht="12.75" customHeight="1" x14ac:dyDescent="0.2">
      <c r="A193" s="113"/>
      <c r="B193" s="114"/>
      <c r="C193" s="115"/>
      <c r="D193" s="116"/>
    </row>
    <row r="194" spans="1:4" ht="12.75" customHeight="1" x14ac:dyDescent="0.2">
      <c r="A194" s="113"/>
      <c r="B194" s="114"/>
      <c r="C194" s="115"/>
      <c r="D194" s="116"/>
    </row>
    <row r="195" spans="1:4" ht="12.75" customHeight="1" x14ac:dyDescent="0.2">
      <c r="A195" s="113"/>
      <c r="B195" s="114"/>
      <c r="C195" s="115"/>
      <c r="D195" s="116"/>
    </row>
    <row r="196" spans="1:4" ht="12.75" customHeight="1" x14ac:dyDescent="0.2">
      <c r="A196" s="113"/>
      <c r="B196" s="114"/>
      <c r="C196" s="115"/>
      <c r="D196" s="116"/>
    </row>
    <row r="197" spans="1:4" ht="12.75" customHeight="1" x14ac:dyDescent="0.2">
      <c r="A197" s="113"/>
      <c r="B197" s="114"/>
      <c r="C197" s="115"/>
      <c r="D197" s="116"/>
    </row>
    <row r="198" spans="1:4" ht="12.75" customHeight="1" x14ac:dyDescent="0.2">
      <c r="A198" s="113"/>
      <c r="B198" s="114"/>
      <c r="C198" s="115"/>
      <c r="D198" s="116"/>
    </row>
    <row r="199" spans="1:4" ht="12.75" customHeight="1" x14ac:dyDescent="0.2">
      <c r="A199" s="113"/>
      <c r="B199" s="114"/>
      <c r="C199" s="115"/>
      <c r="D199" s="116"/>
    </row>
    <row r="200" spans="1:4" ht="12.75" customHeight="1" x14ac:dyDescent="0.2">
      <c r="A200" s="113"/>
      <c r="B200" s="114"/>
      <c r="C200" s="115"/>
      <c r="D200" s="116"/>
    </row>
    <row r="201" spans="1:4" ht="12.75" customHeight="1" x14ac:dyDescent="0.2">
      <c r="A201" s="113"/>
      <c r="B201" s="114"/>
      <c r="C201" s="115"/>
      <c r="D201" s="116"/>
    </row>
    <row r="202" spans="1:4" ht="12.75" customHeight="1" x14ac:dyDescent="0.2">
      <c r="A202" s="113"/>
      <c r="B202" s="114"/>
      <c r="C202" s="115"/>
      <c r="D202" s="116"/>
    </row>
    <row r="203" spans="1:4" ht="12.75" customHeight="1" x14ac:dyDescent="0.2">
      <c r="A203" s="113"/>
      <c r="B203" s="114"/>
      <c r="C203" s="115"/>
      <c r="D203" s="116"/>
    </row>
    <row r="204" spans="1:4" ht="12.75" customHeight="1" x14ac:dyDescent="0.2">
      <c r="A204" s="113"/>
      <c r="B204" s="114"/>
      <c r="C204" s="115"/>
      <c r="D204" s="116"/>
    </row>
    <row r="205" spans="1:4" ht="12.75" customHeight="1" x14ac:dyDescent="0.2">
      <c r="A205" s="113"/>
      <c r="B205" s="114"/>
      <c r="C205" s="115"/>
      <c r="D205" s="116"/>
    </row>
    <row r="206" spans="1:4" ht="12.75" customHeight="1" x14ac:dyDescent="0.2">
      <c r="A206" s="113"/>
      <c r="B206" s="114"/>
      <c r="C206" s="115"/>
      <c r="D206" s="116"/>
    </row>
    <row r="207" spans="1:4" ht="12.75" customHeight="1" x14ac:dyDescent="0.2">
      <c r="A207" s="113"/>
      <c r="B207" s="114"/>
      <c r="C207" s="115"/>
      <c r="D207" s="116"/>
    </row>
    <row r="208" spans="1:4" ht="12.75" customHeight="1" x14ac:dyDescent="0.2">
      <c r="A208" s="113"/>
      <c r="B208" s="114"/>
      <c r="C208" s="115"/>
      <c r="D208" s="116"/>
    </row>
    <row r="209" spans="1:4" ht="12.75" customHeight="1" x14ac:dyDescent="0.2">
      <c r="A209" s="113"/>
      <c r="B209" s="114"/>
      <c r="C209" s="115"/>
      <c r="D209" s="116"/>
    </row>
    <row r="210" spans="1:4" ht="12.75" customHeight="1" x14ac:dyDescent="0.2">
      <c r="A210" s="113"/>
      <c r="B210" s="114"/>
      <c r="C210" s="115"/>
      <c r="D210" s="116"/>
    </row>
    <row r="211" spans="1:4" ht="12.75" customHeight="1" x14ac:dyDescent="0.2">
      <c r="A211" s="113"/>
      <c r="B211" s="114"/>
      <c r="C211" s="115"/>
      <c r="D211" s="116"/>
    </row>
    <row r="212" spans="1:4" ht="12.75" customHeight="1" x14ac:dyDescent="0.2">
      <c r="A212" s="113"/>
      <c r="B212" s="114"/>
      <c r="C212" s="115"/>
      <c r="D212" s="116"/>
    </row>
    <row r="213" spans="1:4" ht="12.75" customHeight="1" x14ac:dyDescent="0.2">
      <c r="A213" s="113"/>
      <c r="B213" s="114"/>
      <c r="C213" s="115"/>
      <c r="D213" s="116"/>
    </row>
    <row r="214" spans="1:4" ht="12.75" customHeight="1" x14ac:dyDescent="0.2">
      <c r="A214" s="113"/>
      <c r="B214" s="114"/>
      <c r="C214" s="115"/>
      <c r="D214" s="116"/>
    </row>
    <row r="215" spans="1:4" ht="12.75" customHeight="1" x14ac:dyDescent="0.2">
      <c r="A215" s="113"/>
      <c r="B215" s="114"/>
      <c r="C215" s="115"/>
      <c r="D215" s="116"/>
    </row>
    <row r="216" spans="1:4" ht="12.75" customHeight="1" x14ac:dyDescent="0.2">
      <c r="A216" s="113"/>
      <c r="B216" s="114"/>
      <c r="C216" s="115"/>
      <c r="D216" s="116"/>
    </row>
    <row r="217" spans="1:4" ht="12.75" customHeight="1" x14ac:dyDescent="0.2">
      <c r="A217" s="113"/>
      <c r="B217" s="114"/>
      <c r="C217" s="115"/>
      <c r="D217" s="116"/>
    </row>
    <row r="218" spans="1:4" ht="12.75" customHeight="1" x14ac:dyDescent="0.2">
      <c r="A218" s="113"/>
      <c r="B218" s="114"/>
      <c r="C218" s="115"/>
      <c r="D218" s="116"/>
    </row>
    <row r="219" spans="1:4" ht="12.75" customHeight="1" x14ac:dyDescent="0.2">
      <c r="A219" s="113"/>
      <c r="B219" s="114"/>
      <c r="C219" s="115"/>
      <c r="D219" s="116"/>
    </row>
    <row r="220" spans="1:4" ht="12.75" customHeight="1" x14ac:dyDescent="0.2">
      <c r="A220" s="113"/>
      <c r="B220" s="114"/>
      <c r="C220" s="115"/>
      <c r="D220" s="116"/>
    </row>
    <row r="221" spans="1:4" ht="12.75" customHeight="1" x14ac:dyDescent="0.2">
      <c r="A221" s="113"/>
      <c r="B221" s="114"/>
      <c r="C221" s="115"/>
      <c r="D221" s="116"/>
    </row>
    <row r="222" spans="1:4" ht="12.75" customHeight="1" x14ac:dyDescent="0.2">
      <c r="A222" s="113"/>
      <c r="B222" s="114"/>
      <c r="C222" s="115"/>
      <c r="D222" s="116"/>
    </row>
    <row r="223" spans="1:4" ht="12.75" customHeight="1" x14ac:dyDescent="0.2">
      <c r="A223" s="113"/>
      <c r="B223" s="114"/>
      <c r="C223" s="115"/>
      <c r="D223" s="116"/>
    </row>
    <row r="224" spans="1:4" ht="12.75" customHeight="1" x14ac:dyDescent="0.2">
      <c r="A224" s="113"/>
      <c r="B224" s="114"/>
      <c r="C224" s="115"/>
      <c r="D224" s="116"/>
    </row>
    <row r="225" spans="1:4" ht="12.75" customHeight="1" x14ac:dyDescent="0.2">
      <c r="A225" s="113"/>
      <c r="B225" s="114"/>
      <c r="C225" s="115"/>
      <c r="D225" s="116"/>
    </row>
    <row r="226" spans="1:4" ht="12.75" customHeight="1" x14ac:dyDescent="0.2">
      <c r="A226" s="113"/>
      <c r="B226" s="114"/>
      <c r="C226" s="115"/>
      <c r="D226" s="116"/>
    </row>
    <row r="227" spans="1:4" ht="12.75" customHeight="1" x14ac:dyDescent="0.2">
      <c r="A227" s="113"/>
      <c r="B227" s="114"/>
      <c r="C227" s="115"/>
      <c r="D227" s="116"/>
    </row>
    <row r="228" spans="1:4" ht="12.75" customHeight="1" x14ac:dyDescent="0.2">
      <c r="A228" s="113"/>
      <c r="B228" s="114"/>
      <c r="C228" s="115"/>
      <c r="D228" s="116"/>
    </row>
    <row r="229" spans="1:4" ht="12.75" customHeight="1" x14ac:dyDescent="0.2">
      <c r="A229" s="113"/>
      <c r="B229" s="114"/>
      <c r="C229" s="115"/>
      <c r="D229" s="116"/>
    </row>
    <row r="230" spans="1:4" ht="12.75" customHeight="1" x14ac:dyDescent="0.2">
      <c r="A230" s="113"/>
      <c r="B230" s="114"/>
      <c r="C230" s="115"/>
      <c r="D230" s="116"/>
    </row>
    <row r="231" spans="1:4" ht="12.75" customHeight="1" x14ac:dyDescent="0.2">
      <c r="A231" s="113"/>
      <c r="B231" s="114"/>
      <c r="C231" s="115"/>
      <c r="D231" s="116"/>
    </row>
    <row r="232" spans="1:4" ht="12.75" customHeight="1" x14ac:dyDescent="0.2">
      <c r="A232" s="113"/>
      <c r="B232" s="114"/>
      <c r="C232" s="115"/>
      <c r="D232" s="116"/>
    </row>
    <row r="233" spans="1:4" ht="12.75" customHeight="1" x14ac:dyDescent="0.2">
      <c r="A233" s="113"/>
      <c r="B233" s="114"/>
      <c r="C233" s="115"/>
      <c r="D233" s="116"/>
    </row>
    <row r="234" spans="1:4" ht="12.75" customHeight="1" x14ac:dyDescent="0.2">
      <c r="A234" s="113"/>
      <c r="B234" s="114"/>
      <c r="C234" s="115"/>
      <c r="D234" s="116"/>
    </row>
    <row r="235" spans="1:4" ht="12.75" customHeight="1" x14ac:dyDescent="0.2">
      <c r="A235" s="113"/>
      <c r="B235" s="114"/>
      <c r="C235" s="115"/>
      <c r="D235" s="116"/>
    </row>
    <row r="236" spans="1:4" ht="12.75" customHeight="1" x14ac:dyDescent="0.2">
      <c r="A236" s="113"/>
      <c r="B236" s="114"/>
      <c r="C236" s="115"/>
      <c r="D236" s="116"/>
    </row>
    <row r="237" spans="1:4" ht="12.75" customHeight="1" x14ac:dyDescent="0.2">
      <c r="A237" s="113"/>
      <c r="B237" s="114"/>
      <c r="C237" s="115"/>
      <c r="D237" s="116"/>
    </row>
    <row r="238" spans="1:4" ht="12.75" customHeight="1" x14ac:dyDescent="0.2">
      <c r="A238" s="113"/>
      <c r="B238" s="114"/>
      <c r="C238" s="115"/>
      <c r="D238" s="116"/>
    </row>
    <row r="239" spans="1:4" ht="12.75" customHeight="1" x14ac:dyDescent="0.2">
      <c r="A239" s="113"/>
      <c r="B239" s="114"/>
      <c r="C239" s="115"/>
      <c r="D239" s="116"/>
    </row>
    <row r="240" spans="1:4" ht="12.75" customHeight="1" x14ac:dyDescent="0.2">
      <c r="A240" s="113"/>
      <c r="B240" s="114"/>
      <c r="C240" s="115"/>
      <c r="D240" s="116"/>
    </row>
    <row r="241" spans="1:4" ht="12.75" customHeight="1" x14ac:dyDescent="0.2">
      <c r="A241" s="113"/>
      <c r="B241" s="114"/>
      <c r="C241" s="115"/>
      <c r="D241" s="116"/>
    </row>
    <row r="242" spans="1:4" ht="12.75" customHeight="1" x14ac:dyDescent="0.2">
      <c r="A242" s="113"/>
      <c r="B242" s="114"/>
      <c r="C242" s="115"/>
      <c r="D242" s="116"/>
    </row>
    <row r="243" spans="1:4" ht="12.75" customHeight="1" x14ac:dyDescent="0.2">
      <c r="A243" s="113"/>
      <c r="B243" s="114"/>
      <c r="C243" s="115"/>
      <c r="D243" s="116"/>
    </row>
    <row r="244" spans="1:4" ht="12.75" customHeight="1" x14ac:dyDescent="0.2">
      <c r="A244" s="113"/>
      <c r="B244" s="114"/>
      <c r="C244" s="115"/>
      <c r="D244" s="116"/>
    </row>
    <row r="245" spans="1:4" ht="12.75" customHeight="1" x14ac:dyDescent="0.2">
      <c r="A245" s="113"/>
      <c r="B245" s="114"/>
      <c r="C245" s="115"/>
      <c r="D245" s="116"/>
    </row>
    <row r="246" spans="1:4" ht="12.75" customHeight="1" x14ac:dyDescent="0.2">
      <c r="A246" s="113"/>
      <c r="B246" s="114"/>
      <c r="C246" s="115"/>
      <c r="D246" s="116"/>
    </row>
    <row r="247" spans="1:4" ht="12.75" customHeight="1" x14ac:dyDescent="0.2">
      <c r="A247" s="113"/>
      <c r="B247" s="114"/>
      <c r="C247" s="115"/>
      <c r="D247" s="116"/>
    </row>
    <row r="248" spans="1:4" ht="12.75" customHeight="1" x14ac:dyDescent="0.2">
      <c r="A248" s="113"/>
      <c r="B248" s="114"/>
      <c r="C248" s="115"/>
      <c r="D248" s="116"/>
    </row>
    <row r="249" spans="1:4" ht="12.75" customHeight="1" x14ac:dyDescent="0.2">
      <c r="A249" s="113"/>
      <c r="B249" s="114"/>
      <c r="C249" s="115"/>
      <c r="D249" s="116"/>
    </row>
    <row r="250" spans="1:4" ht="12.75" customHeight="1" x14ac:dyDescent="0.2">
      <c r="A250" s="113"/>
      <c r="B250" s="114"/>
      <c r="C250" s="115"/>
      <c r="D250" s="116"/>
    </row>
    <row r="251" spans="1:4" ht="12.75" customHeight="1" x14ac:dyDescent="0.2">
      <c r="A251" s="113"/>
      <c r="B251" s="114"/>
      <c r="C251" s="115"/>
      <c r="D251" s="116"/>
    </row>
    <row r="252" spans="1:4" ht="12.75" customHeight="1" x14ac:dyDescent="0.2">
      <c r="A252" s="113"/>
      <c r="B252" s="114"/>
      <c r="C252" s="115"/>
      <c r="D252" s="116"/>
    </row>
    <row r="253" spans="1:4" ht="12.75" customHeight="1" x14ac:dyDescent="0.2">
      <c r="A253" s="113"/>
      <c r="B253" s="114"/>
      <c r="C253" s="115"/>
      <c r="D253" s="116"/>
    </row>
    <row r="254" spans="1:4" ht="12.75" customHeight="1" x14ac:dyDescent="0.2">
      <c r="A254" s="113"/>
      <c r="B254" s="114"/>
      <c r="C254" s="115"/>
      <c r="D254" s="116"/>
    </row>
    <row r="255" spans="1:4" ht="12.75" customHeight="1" x14ac:dyDescent="0.2">
      <c r="A255" s="113"/>
      <c r="B255" s="114"/>
      <c r="C255" s="115"/>
      <c r="D255" s="116"/>
    </row>
    <row r="256" spans="1:4" ht="12.75" customHeight="1" x14ac:dyDescent="0.2">
      <c r="A256" s="113"/>
      <c r="B256" s="114"/>
      <c r="C256" s="115"/>
      <c r="D256" s="116"/>
    </row>
    <row r="257" spans="1:4" ht="12.75" customHeight="1" x14ac:dyDescent="0.2">
      <c r="A257" s="113"/>
      <c r="B257" s="114"/>
      <c r="C257" s="115"/>
      <c r="D257" s="116"/>
    </row>
    <row r="258" spans="1:4" ht="12.75" customHeight="1" x14ac:dyDescent="0.2">
      <c r="A258" s="113"/>
      <c r="B258" s="114"/>
      <c r="C258" s="115"/>
      <c r="D258" s="116"/>
    </row>
    <row r="259" spans="1:4" ht="12.75" customHeight="1" x14ac:dyDescent="0.2">
      <c r="A259" s="113"/>
      <c r="B259" s="114"/>
      <c r="C259" s="115"/>
      <c r="D259" s="116"/>
    </row>
    <row r="260" spans="1:4" ht="12.75" customHeight="1" x14ac:dyDescent="0.2">
      <c r="A260" s="113"/>
      <c r="B260" s="114"/>
      <c r="C260" s="115"/>
      <c r="D260" s="116"/>
    </row>
    <row r="261" spans="1:4" ht="12.75" customHeight="1" x14ac:dyDescent="0.2">
      <c r="A261" s="113"/>
      <c r="B261" s="114"/>
      <c r="C261" s="115"/>
      <c r="D261" s="116"/>
    </row>
    <row r="262" spans="1:4" ht="12.75" customHeight="1" x14ac:dyDescent="0.2">
      <c r="A262" s="113"/>
      <c r="B262" s="114"/>
      <c r="C262" s="115"/>
      <c r="D262" s="116"/>
    </row>
    <row r="263" spans="1:4" ht="12.75" customHeight="1" x14ac:dyDescent="0.2">
      <c r="A263" s="113"/>
      <c r="B263" s="114"/>
      <c r="C263" s="115"/>
      <c r="D263" s="116"/>
    </row>
    <row r="264" spans="1:4" ht="12.75" customHeight="1" x14ac:dyDescent="0.2">
      <c r="A264" s="113"/>
      <c r="B264" s="114"/>
      <c r="C264" s="115"/>
      <c r="D264" s="116"/>
    </row>
    <row r="265" spans="1:4" ht="12.75" customHeight="1" x14ac:dyDescent="0.2">
      <c r="A265" s="113"/>
      <c r="B265" s="114"/>
      <c r="C265" s="115"/>
      <c r="D265" s="116"/>
    </row>
    <row r="266" spans="1:4" ht="12.75" customHeight="1" x14ac:dyDescent="0.2">
      <c r="A266" s="113"/>
      <c r="B266" s="114"/>
      <c r="C266" s="115"/>
      <c r="D266" s="116"/>
    </row>
    <row r="267" spans="1:4" ht="12.75" customHeight="1" x14ac:dyDescent="0.2">
      <c r="A267" s="113"/>
      <c r="B267" s="114"/>
      <c r="C267" s="115"/>
      <c r="D267" s="116"/>
    </row>
    <row r="268" spans="1:4" ht="12.75" customHeight="1" x14ac:dyDescent="0.2">
      <c r="A268" s="113"/>
      <c r="B268" s="114"/>
      <c r="C268" s="115"/>
      <c r="D268" s="116"/>
    </row>
    <row r="269" spans="1:4" ht="12.75" customHeight="1" x14ac:dyDescent="0.2">
      <c r="A269" s="113"/>
      <c r="B269" s="114"/>
      <c r="C269" s="115"/>
      <c r="D269" s="116"/>
    </row>
    <row r="270" spans="1:4" ht="12.75" customHeight="1" x14ac:dyDescent="0.2">
      <c r="A270" s="113"/>
      <c r="B270" s="114"/>
      <c r="C270" s="115"/>
      <c r="D270" s="116"/>
    </row>
    <row r="271" spans="1:4" ht="12.75" customHeight="1" x14ac:dyDescent="0.2">
      <c r="A271" s="113"/>
      <c r="B271" s="114"/>
      <c r="C271" s="115"/>
      <c r="D271" s="116"/>
    </row>
    <row r="272" spans="1:4" ht="12.75" customHeight="1" x14ac:dyDescent="0.2">
      <c r="A272" s="113"/>
      <c r="B272" s="114"/>
      <c r="C272" s="115"/>
      <c r="D272" s="116"/>
    </row>
    <row r="273" spans="1:4" ht="12.75" customHeight="1" x14ac:dyDescent="0.2">
      <c r="A273" s="113"/>
      <c r="B273" s="114"/>
      <c r="C273" s="115"/>
      <c r="D273" s="116"/>
    </row>
    <row r="274" spans="1:4" ht="12.75" customHeight="1" x14ac:dyDescent="0.2">
      <c r="A274" s="113"/>
      <c r="B274" s="114"/>
      <c r="C274" s="115"/>
      <c r="D274" s="116"/>
    </row>
    <row r="275" spans="1:4" ht="12.75" customHeight="1" x14ac:dyDescent="0.2">
      <c r="A275" s="113"/>
      <c r="B275" s="114"/>
      <c r="C275" s="115"/>
      <c r="D275" s="116"/>
    </row>
    <row r="276" spans="1:4" ht="12.75" customHeight="1" x14ac:dyDescent="0.2">
      <c r="A276" s="113"/>
      <c r="B276" s="114"/>
      <c r="C276" s="115"/>
      <c r="D276" s="116"/>
    </row>
    <row r="277" spans="1:4" ht="12.75" customHeight="1" x14ac:dyDescent="0.2">
      <c r="A277" s="113"/>
      <c r="B277" s="114"/>
      <c r="C277" s="115"/>
      <c r="D277" s="116"/>
    </row>
    <row r="278" spans="1:4" ht="12.75" customHeight="1" x14ac:dyDescent="0.2">
      <c r="A278" s="113"/>
      <c r="B278" s="114"/>
      <c r="C278" s="115"/>
      <c r="D278" s="116"/>
    </row>
    <row r="279" spans="1:4" ht="12.75" customHeight="1" x14ac:dyDescent="0.2">
      <c r="A279" s="113"/>
      <c r="B279" s="114"/>
      <c r="C279" s="115"/>
      <c r="D279" s="116"/>
    </row>
    <row r="280" spans="1:4" ht="12.75" customHeight="1" x14ac:dyDescent="0.2">
      <c r="A280" s="113"/>
      <c r="B280" s="114"/>
      <c r="C280" s="115"/>
      <c r="D280" s="116"/>
    </row>
    <row r="281" spans="1:4" ht="12.75" customHeight="1" x14ac:dyDescent="0.2">
      <c r="A281" s="113"/>
      <c r="B281" s="114"/>
      <c r="C281" s="115"/>
      <c r="D281" s="116"/>
    </row>
    <row r="282" spans="1:4" ht="12.75" customHeight="1" x14ac:dyDescent="0.2">
      <c r="A282" s="113"/>
      <c r="B282" s="114"/>
      <c r="C282" s="115"/>
      <c r="D282" s="116"/>
    </row>
    <row r="283" spans="1:4" ht="12.75" customHeight="1" x14ac:dyDescent="0.2">
      <c r="A283" s="113"/>
      <c r="B283" s="114"/>
      <c r="C283" s="115"/>
      <c r="D283" s="116"/>
    </row>
    <row r="284" spans="1:4" ht="12.75" customHeight="1" x14ac:dyDescent="0.2">
      <c r="A284" s="113"/>
      <c r="B284" s="114"/>
      <c r="C284" s="115"/>
      <c r="D284" s="116"/>
    </row>
    <row r="285" spans="1:4" ht="12.75" customHeight="1" x14ac:dyDescent="0.2">
      <c r="A285" s="113"/>
      <c r="B285" s="114"/>
      <c r="C285" s="115"/>
      <c r="D285" s="116"/>
    </row>
    <row r="286" spans="1:4" ht="12.75" customHeight="1" x14ac:dyDescent="0.2">
      <c r="A286" s="113"/>
      <c r="B286" s="114"/>
      <c r="C286" s="115"/>
      <c r="D286" s="116"/>
    </row>
    <row r="287" spans="1:4" ht="12.75" customHeight="1" x14ac:dyDescent="0.2">
      <c r="A287" s="113"/>
      <c r="B287" s="114"/>
      <c r="C287" s="115"/>
      <c r="D287" s="116"/>
    </row>
    <row r="288" spans="1:4" ht="12.75" customHeight="1" x14ac:dyDescent="0.2">
      <c r="A288" s="113"/>
      <c r="B288" s="114"/>
      <c r="C288" s="115"/>
      <c r="D288" s="116"/>
    </row>
    <row r="289" spans="1:4" ht="12.75" customHeight="1" x14ac:dyDescent="0.2">
      <c r="A289" s="113"/>
      <c r="B289" s="114"/>
      <c r="C289" s="115"/>
      <c r="D289" s="116"/>
    </row>
    <row r="290" spans="1:4" ht="12.75" customHeight="1" x14ac:dyDescent="0.2">
      <c r="A290" s="113"/>
      <c r="B290" s="114"/>
      <c r="C290" s="115"/>
      <c r="D290" s="116"/>
    </row>
    <row r="291" spans="1:4" ht="12.75" customHeight="1" x14ac:dyDescent="0.2">
      <c r="A291" s="113"/>
      <c r="B291" s="114"/>
      <c r="C291" s="115"/>
      <c r="D291" s="116"/>
    </row>
    <row r="292" spans="1:4" ht="12.75" customHeight="1" x14ac:dyDescent="0.2">
      <c r="A292" s="113"/>
      <c r="B292" s="114"/>
      <c r="C292" s="115"/>
      <c r="D292" s="116"/>
    </row>
    <row r="293" spans="1:4" ht="12.75" customHeight="1" x14ac:dyDescent="0.2">
      <c r="A293" s="113"/>
      <c r="B293" s="114"/>
      <c r="C293" s="115"/>
      <c r="D293" s="116"/>
    </row>
    <row r="294" spans="1:4" ht="12.75" customHeight="1" x14ac:dyDescent="0.2">
      <c r="A294" s="113"/>
      <c r="B294" s="114"/>
      <c r="C294" s="115"/>
      <c r="D294" s="116"/>
    </row>
    <row r="295" spans="1:4" ht="12.75" customHeight="1" x14ac:dyDescent="0.2">
      <c r="A295" s="113"/>
      <c r="B295" s="114"/>
      <c r="C295" s="115"/>
      <c r="D295" s="116"/>
    </row>
    <row r="296" spans="1:4" ht="12.75" customHeight="1" x14ac:dyDescent="0.2">
      <c r="A296" s="113"/>
      <c r="B296" s="114"/>
      <c r="C296" s="115"/>
      <c r="D296" s="116"/>
    </row>
    <row r="297" spans="1:4" ht="12.75" customHeight="1" x14ac:dyDescent="0.2">
      <c r="A297" s="113"/>
      <c r="B297" s="114"/>
      <c r="C297" s="115"/>
      <c r="D297" s="116"/>
    </row>
    <row r="298" spans="1:4" ht="12.75" customHeight="1" x14ac:dyDescent="0.2">
      <c r="A298" s="113"/>
      <c r="B298" s="114"/>
      <c r="C298" s="115"/>
      <c r="D298" s="116"/>
    </row>
    <row r="299" spans="1:4" ht="12.75" customHeight="1" x14ac:dyDescent="0.2">
      <c r="A299" s="113"/>
      <c r="B299" s="114"/>
      <c r="C299" s="115"/>
      <c r="D299" s="116"/>
    </row>
    <row r="300" spans="1:4" ht="12.75" customHeight="1" x14ac:dyDescent="0.2">
      <c r="A300" s="113"/>
      <c r="B300" s="114"/>
      <c r="C300" s="115"/>
      <c r="D300" s="116"/>
    </row>
    <row r="301" spans="1:4" ht="12.75" customHeight="1" x14ac:dyDescent="0.2">
      <c r="A301" s="113"/>
      <c r="B301" s="114"/>
      <c r="C301" s="115"/>
      <c r="D301" s="116"/>
    </row>
    <row r="302" spans="1:4" ht="12.75" customHeight="1" x14ac:dyDescent="0.2">
      <c r="A302" s="113"/>
      <c r="B302" s="114"/>
      <c r="C302" s="115"/>
      <c r="D302" s="116"/>
    </row>
    <row r="303" spans="1:4" ht="12.75" customHeight="1" x14ac:dyDescent="0.2">
      <c r="A303" s="113"/>
      <c r="B303" s="114"/>
      <c r="C303" s="115"/>
      <c r="D303" s="116"/>
    </row>
    <row r="304" spans="1:4" ht="12.75" customHeight="1" x14ac:dyDescent="0.2">
      <c r="A304" s="113"/>
      <c r="B304" s="114"/>
      <c r="C304" s="115"/>
      <c r="D304" s="116"/>
    </row>
    <row r="305" spans="1:4" ht="12.75" customHeight="1" x14ac:dyDescent="0.2">
      <c r="A305" s="113"/>
      <c r="B305" s="114"/>
      <c r="C305" s="115"/>
      <c r="D305" s="116"/>
    </row>
    <row r="306" spans="1:4" ht="12.75" customHeight="1" x14ac:dyDescent="0.2">
      <c r="A306" s="113"/>
      <c r="B306" s="114"/>
      <c r="C306" s="115"/>
      <c r="D306" s="116"/>
    </row>
    <row r="307" spans="1:4" ht="12.75" customHeight="1" x14ac:dyDescent="0.2">
      <c r="A307" s="113"/>
      <c r="B307" s="114"/>
      <c r="C307" s="115"/>
      <c r="D307" s="116"/>
    </row>
    <row r="308" spans="1:4" ht="12.75" customHeight="1" x14ac:dyDescent="0.2">
      <c r="A308" s="113"/>
      <c r="B308" s="114"/>
      <c r="C308" s="115"/>
      <c r="D308" s="116"/>
    </row>
    <row r="309" spans="1:4" ht="12.75" customHeight="1" x14ac:dyDescent="0.2">
      <c r="A309" s="113"/>
      <c r="B309" s="114"/>
      <c r="C309" s="115"/>
      <c r="D309" s="116"/>
    </row>
    <row r="310" spans="1:4" ht="12.75" customHeight="1" x14ac:dyDescent="0.2">
      <c r="A310" s="113"/>
      <c r="B310" s="114"/>
      <c r="C310" s="115"/>
      <c r="D310" s="116"/>
    </row>
    <row r="311" spans="1:4" ht="12.75" customHeight="1" x14ac:dyDescent="0.2">
      <c r="A311" s="113"/>
      <c r="B311" s="114"/>
      <c r="C311" s="115"/>
      <c r="D311" s="116"/>
    </row>
    <row r="312" spans="1:4" ht="12.75" customHeight="1" x14ac:dyDescent="0.2">
      <c r="A312" s="113"/>
      <c r="B312" s="114"/>
      <c r="C312" s="115"/>
      <c r="D312" s="116"/>
    </row>
    <row r="313" spans="1:4" ht="12.75" customHeight="1" x14ac:dyDescent="0.2">
      <c r="A313" s="113"/>
      <c r="B313" s="114"/>
      <c r="C313" s="115"/>
      <c r="D313" s="116"/>
    </row>
    <row r="314" spans="1:4" ht="12.75" customHeight="1" x14ac:dyDescent="0.2">
      <c r="A314" s="113"/>
      <c r="B314" s="114"/>
      <c r="C314" s="115"/>
      <c r="D314" s="116"/>
    </row>
    <row r="315" spans="1:4" ht="12.75" customHeight="1" x14ac:dyDescent="0.2">
      <c r="A315" s="113"/>
      <c r="B315" s="114"/>
      <c r="C315" s="115"/>
      <c r="D315" s="116"/>
    </row>
    <row r="316" spans="1:4" ht="12.75" customHeight="1" x14ac:dyDescent="0.2">
      <c r="A316" s="113"/>
      <c r="B316" s="114"/>
      <c r="C316" s="115"/>
      <c r="D316" s="116"/>
    </row>
    <row r="317" spans="1:4" ht="12.75" customHeight="1" x14ac:dyDescent="0.2">
      <c r="A317" s="113"/>
      <c r="B317" s="114"/>
      <c r="C317" s="115"/>
      <c r="D317" s="116"/>
    </row>
    <row r="318" spans="1:4" ht="12.75" customHeight="1" x14ac:dyDescent="0.2">
      <c r="A318" s="113"/>
      <c r="B318" s="114"/>
      <c r="C318" s="115"/>
      <c r="D318" s="116"/>
    </row>
    <row r="319" spans="1:4" ht="12.75" customHeight="1" x14ac:dyDescent="0.2">
      <c r="A319" s="113"/>
      <c r="B319" s="114"/>
      <c r="C319" s="115"/>
      <c r="D319" s="116"/>
    </row>
    <row r="320" spans="1:4" ht="12.75" customHeight="1" x14ac:dyDescent="0.2">
      <c r="A320" s="113"/>
      <c r="B320" s="114"/>
      <c r="C320" s="115"/>
      <c r="D320" s="116"/>
    </row>
    <row r="321" spans="1:4" ht="12.75" customHeight="1" x14ac:dyDescent="0.2">
      <c r="A321" s="113"/>
      <c r="B321" s="114"/>
      <c r="C321" s="115"/>
      <c r="D321" s="116"/>
    </row>
    <row r="322" spans="1:4" ht="12.75" customHeight="1" x14ac:dyDescent="0.2">
      <c r="A322" s="113"/>
      <c r="B322" s="114"/>
      <c r="C322" s="115"/>
      <c r="D322" s="116"/>
    </row>
    <row r="323" spans="1:4" ht="12.75" customHeight="1" x14ac:dyDescent="0.2">
      <c r="A323" s="113"/>
      <c r="B323" s="114"/>
      <c r="C323" s="115"/>
      <c r="D323" s="116"/>
    </row>
    <row r="324" spans="1:4" ht="12.75" customHeight="1" x14ac:dyDescent="0.2">
      <c r="A324" s="113"/>
      <c r="B324" s="114"/>
      <c r="C324" s="115"/>
      <c r="D324" s="116"/>
    </row>
    <row r="325" spans="1:4" ht="12.75" customHeight="1" x14ac:dyDescent="0.2">
      <c r="A325" s="113"/>
      <c r="B325" s="114"/>
      <c r="C325" s="115"/>
      <c r="D325" s="116"/>
    </row>
    <row r="326" spans="1:4" ht="12.75" customHeight="1" x14ac:dyDescent="0.2">
      <c r="A326" s="113"/>
      <c r="B326" s="114"/>
      <c r="C326" s="115"/>
      <c r="D326" s="116"/>
    </row>
    <row r="327" spans="1:4" ht="15.75" customHeight="1" x14ac:dyDescent="0.2"/>
    <row r="328" spans="1:4" ht="15.75" customHeight="1" x14ac:dyDescent="0.2"/>
    <row r="329" spans="1:4" ht="15.75" customHeight="1" x14ac:dyDescent="0.2"/>
    <row r="330" spans="1:4" ht="15.75" customHeight="1" x14ac:dyDescent="0.2"/>
    <row r="331" spans="1:4" ht="15.75" customHeight="1" x14ac:dyDescent="0.2"/>
    <row r="332" spans="1:4" ht="15.75" customHeight="1" x14ac:dyDescent="0.2"/>
    <row r="333" spans="1:4" ht="15.75" customHeight="1" x14ac:dyDescent="0.2"/>
    <row r="334" spans="1:4" ht="15.75" customHeight="1" x14ac:dyDescent="0.2"/>
    <row r="335" spans="1:4" ht="15.75" customHeight="1" x14ac:dyDescent="0.2"/>
    <row r="336" spans="1:4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A2:E126" xr:uid="{00000000-0009-0000-0000-000001000000}">
    <sortState xmlns:xlrd2="http://schemas.microsoft.com/office/spreadsheetml/2017/richdata2" ref="A2:E126">
      <sortCondition ref="B2:B126"/>
    </sortState>
  </autoFilter>
  <mergeCells count="1">
    <mergeCell ref="B1:E1"/>
  </mergeCells>
  <pageMargins left="0.85069444444444398" right="2.0833333333333301E-2" top="0.27916666666666701" bottom="0.27847222222222201" header="0" footer="0"/>
  <pageSetup paperSize="9" scale="14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CONTROLE DE CONTRATOS</vt:lpstr>
      <vt:lpstr>CONTROLE DOC DAS PASTAS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Leopoldo Euler Marialva de Albuquerque</cp:lastModifiedBy>
  <dcterms:modified xsi:type="dcterms:W3CDTF">2026-03-27T15:35:40Z</dcterms:modified>
</cp:coreProperties>
</file>